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E33" i="3"/>
  <c r="E34" i="3"/>
  <c r="I34" i="3" s="1"/>
  <c r="E35" i="3"/>
  <c r="I35" i="3" s="1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3" i="3" l="1"/>
  <c r="I31" i="3"/>
  <c r="I32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I38" i="3"/>
  <c r="I42" i="3"/>
  <c r="I40" i="3"/>
  <c r="I41" i="3"/>
  <c r="J31" i="3" l="1"/>
  <c r="J25" i="3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<sst xmlns="http://schemas.openxmlformats.org/spreadsheetml/2006/main" count="585" uniqueCount="407">
  <si>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</si>
  <si>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</si>
  <si>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</si>
  <si>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</si>
  <si>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</si>
  <si>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</si>
  <si>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</si>
  <si>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</si>
  <si>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</si>
  <si>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</si>
  <si>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</si>
  <si>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</si>
  <si>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</si>
  <si>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</si>
  <si>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</si>
  <si>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</si>
  <si>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</si>
  <si>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</si>
  <si>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</si>
  <si>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</si>
  <si>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</si>
  <si>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</si>
  <si>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</si>
  <si>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</si>
  <si>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</si>
  <si>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</si>
  <si>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</si>
  <si>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</si>
  <si>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</si>
  <si>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</si>
  <si>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</si>
  <si>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</si>
  <si>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</si>
  <si>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</si>
  <si>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</si>
  <si>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</si>
  <si>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</si>
  <si>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</si>
  <si>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</si>
  <si>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</si>
  <si>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</si>
  <si>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</si>
  <si>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</si>
  <si>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</si>
  <si>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</si>
  <si>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</si>
  <si>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</si>
  <si>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</si>
  <si>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</si>
  <si>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</si>
  <si>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</si>
  <si>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</si>
  <si>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</si>
  <si>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</si>
  <si>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</si>
  <si>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</si>
  <si>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20.60</t>
  </si>
  <si>
    <t>2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</si>
  <si>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</si>
  <si>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</si>
  <si>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</si>
  <si>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</si>
  <si>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</si>
  <si>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</si>
  <si>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</si>
  <si>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</si>
  <si>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</si>
  <si>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</si>
  <si>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</si>
  <si>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</si>
  <si>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</si>
  <si>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</si>
  <si>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</si>
  <si>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</si>
  <si>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</si>
  <si>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</si>
  <si>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</si>
  <si>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</si>
  <si>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</si>
  <si>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</si>
  <si>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</si>
  <si>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</si>
  <si>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</si>
  <si>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</si>
  <si>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</si>
  <si>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</si>
  <si>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</si>
  <si>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</si>
  <si>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检测日期：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</si>
  <si>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</si>
  <si>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</si>
  <si>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</si>
  <si>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</si>
  <si>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</si>
  <si>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</si>
  <si>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</si>
  <si>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</si>
  <si>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</si>
  <si>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</si>
  <si>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</si>
  <si>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</si>
  <si>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</si>
  <si>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</si>
  <si>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</si>
  <si>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</si>
  <si>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</si>
  <si>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</si>
  <si>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</si>
  <si>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</si>
  <si>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</si>
  <si>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</si>
  <si>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</si>
  <si>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</si>
  <si>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</si>
  <si>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</si>
  <si>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</si>
  <si>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</si>
  <si>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</si>
  <si>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20.71</t>
  </si>
  <si>
    <t>0.06</t>
  </si>
  <si>
    <t>0.12</t>
  </si>
  <si>
    <t>0.26</t>
  </si>
  <si>
    <t>20.81</t>
  </si>
  <si>
    <t>0.23%</t>
  </si>
  <si>
    <t>-0.01</t>
  </si>
  <si>
    <t>0.05</t>
  </si>
  <si>
    <t>0.29</t>
  </si>
  <si>
    <t>0.36</t>
  </si>
  <si>
    <t>0.28</t>
  </si>
  <si>
    <t>0.19</t>
  </si>
  <si>
    <t>0.23</t>
  </si>
  <si>
    <t>0.11</t>
  </si>
  <si>
    <t>LUGB 080YDMEJCX2BB-251N15NN4</t>
  </si>
  <si>
    <t>2026010014</t>
  </si>
  <si>
    <t xml:space="preserve"> ( 90～900 )m^3/h</t>
  </si>
  <si>
    <t>2.1858 1/L</t>
  </si>
  <si>
    <t>0.87%</t>
  </si>
  <si>
    <t>0.36%</t>
  </si>
  <si>
    <t>0.22%</t>
  </si>
  <si>
    <t>20.42℃</t>
  </si>
  <si>
    <t>96.379kPa</t>
  </si>
  <si>
    <t>合 格</t>
  </si>
  <si>
    <t>900</t>
    <phoneticPr fontId="11" type="noConversion"/>
  </si>
  <si>
    <t>44.6469</t>
  </si>
  <si>
    <t>11005.1</t>
  </si>
  <si>
    <t>882.003</t>
  </si>
  <si>
    <t>10938.5</t>
  </si>
  <si>
    <t>95.993</t>
  </si>
  <si>
    <t>20.42</t>
  </si>
  <si>
    <t>540.8</t>
  </si>
  <si>
    <t>24144</t>
  </si>
  <si>
    <t>11045.8</t>
  </si>
  <si>
    <t>0.98</t>
  </si>
  <si>
    <t>0.76</t>
  </si>
  <si>
    <t>44.3204</t>
  </si>
  <si>
    <t>10953.7</t>
  </si>
  <si>
    <t>884.526</t>
  </si>
  <si>
    <t>10889.5</t>
  </si>
  <si>
    <t>95.999</t>
  </si>
  <si>
    <t>539.9</t>
  </si>
  <si>
    <t>23927</t>
  </si>
  <si>
    <t>10946.6</t>
  </si>
  <si>
    <t>0.52</t>
  </si>
  <si>
    <t>44.9760</t>
  </si>
  <si>
    <t>11156.6</t>
  </si>
  <si>
    <t>886.652</t>
  </si>
  <si>
    <t>11077.2</t>
  </si>
  <si>
    <t>95.968</t>
  </si>
  <si>
    <t>20.21</t>
  </si>
  <si>
    <t>542.6</t>
  </si>
  <si>
    <t>24403</t>
  </si>
  <si>
    <t>11164.3</t>
  </si>
  <si>
    <t>0.79</t>
  </si>
  <si>
    <t>884.1</t>
  </si>
  <si>
    <t>44.1496</t>
  </si>
  <si>
    <t>10911.5</t>
  </si>
  <si>
    <t>884.984</t>
  </si>
  <si>
    <t>10853.2</t>
  </si>
  <si>
    <t>96.010</t>
  </si>
  <si>
    <t>21.16</t>
  </si>
  <si>
    <t>541.1</t>
  </si>
  <si>
    <t>23890</t>
  </si>
  <si>
    <t>10929.6</t>
  </si>
  <si>
    <t>0.70</t>
  </si>
  <si>
    <t>0.87</t>
  </si>
  <si>
    <t>0.16</t>
  </si>
  <si>
    <t>43.7110</t>
  </si>
  <si>
    <t>10783.0</t>
  </si>
  <si>
    <t>883.364</t>
  </si>
  <si>
    <t>10725.8</t>
  </si>
  <si>
    <t>96.007</t>
  </si>
  <si>
    <t>21.25</t>
  </si>
  <si>
    <t>541.7</t>
  </si>
  <si>
    <t>23680</t>
  </si>
  <si>
    <t>10833.6</t>
  </si>
  <si>
    <t>1.01</t>
  </si>
  <si>
    <t>45.0050</t>
  </si>
  <si>
    <t>11110.3</t>
  </si>
  <si>
    <t>884.011</t>
  </si>
  <si>
    <t>11051.4</t>
  </si>
  <si>
    <t>96.001</t>
  </si>
  <si>
    <t>21.34</t>
  </si>
  <si>
    <t>541.6</t>
  </si>
  <si>
    <t>24375</t>
  </si>
  <si>
    <t>11151.5</t>
  </si>
  <si>
    <t>0.91</t>
  </si>
  <si>
    <t>369.5</t>
  </si>
  <si>
    <t>45.1343</t>
  </si>
  <si>
    <t>4646.02</t>
  </si>
  <si>
    <t>370.525</t>
  </si>
  <si>
    <t>4645.39</t>
  </si>
  <si>
    <t>99.658</t>
  </si>
  <si>
    <t>21.39</t>
  </si>
  <si>
    <t>225.1</t>
  </si>
  <si>
    <t>10160</t>
  </si>
  <si>
    <t>4648.18</t>
  </si>
  <si>
    <t>0.21</t>
  </si>
  <si>
    <t>0.22</t>
  </si>
  <si>
    <t>44.4123</t>
  </si>
  <si>
    <t>4557.24</t>
  </si>
  <si>
    <t>369.325</t>
  </si>
  <si>
    <t>4556.27</t>
  </si>
  <si>
    <t>99.660</t>
  </si>
  <si>
    <t>21.37</t>
  </si>
  <si>
    <t>224.5</t>
  </si>
  <si>
    <t>9970</t>
  </si>
  <si>
    <t>4561.26</t>
  </si>
  <si>
    <t>44.2897</t>
  </si>
  <si>
    <t>4538.04</t>
  </si>
  <si>
    <t>368.756</t>
  </si>
  <si>
    <t>4536.70</t>
  </si>
  <si>
    <t>99.650</t>
  </si>
  <si>
    <t>225.0</t>
  </si>
  <si>
    <t>9963</t>
  </si>
  <si>
    <t>4558.06</t>
  </si>
  <si>
    <t>0.47</t>
  </si>
  <si>
    <t>368.7</t>
  </si>
  <si>
    <t>44.3331</t>
  </si>
  <si>
    <t>4542.10</t>
  </si>
  <si>
    <t>368.670</t>
  </si>
  <si>
    <t>4540.08</t>
  </si>
  <si>
    <t>99.651</t>
  </si>
  <si>
    <t>21.28</t>
  </si>
  <si>
    <t>224.3</t>
  </si>
  <si>
    <t>9945</t>
  </si>
  <si>
    <t>4549.82</t>
  </si>
  <si>
    <t>44.0731</t>
  </si>
  <si>
    <t>4520.61</t>
  </si>
  <si>
    <t>369.017</t>
  </si>
  <si>
    <t>4517.70</t>
  </si>
  <si>
    <t>99.653</t>
  </si>
  <si>
    <t>21.18</t>
  </si>
  <si>
    <t>224.6</t>
  </si>
  <si>
    <t>9900</t>
  </si>
  <si>
    <t>4529.23</t>
  </si>
  <si>
    <t>44.3954</t>
  </si>
  <si>
    <t>4548.44</t>
  </si>
  <si>
    <t>368.513</t>
  </si>
  <si>
    <t>4544.51</t>
  </si>
  <si>
    <t>21.06</t>
  </si>
  <si>
    <t>9994</t>
  </si>
  <si>
    <t>4572.24</t>
  </si>
  <si>
    <t>0.61</t>
  </si>
  <si>
    <t>180</t>
    <phoneticPr fontId="11" type="noConversion"/>
  </si>
  <si>
    <t>44.3390</t>
  </si>
  <si>
    <t>2237.49</t>
  </si>
  <si>
    <t>181.516</t>
  </si>
  <si>
    <t>2235.62</t>
  </si>
  <si>
    <t>100.294</t>
  </si>
  <si>
    <t>110.2</t>
  </si>
  <si>
    <t>4886</t>
  </si>
  <si>
    <t>2235.34</t>
  </si>
  <si>
    <t>0.01</t>
  </si>
  <si>
    <t>44.4701</t>
  </si>
  <si>
    <t>2269.50</t>
  </si>
  <si>
    <t>183.540</t>
  </si>
  <si>
    <t>2267.24</t>
  </si>
  <si>
    <t>100.290</t>
  </si>
  <si>
    <t>111.6</t>
  </si>
  <si>
    <t>4962</t>
  </si>
  <si>
    <t>2270.11</t>
  </si>
  <si>
    <t>0.13</t>
  </si>
  <si>
    <t>44.1679</t>
  </si>
  <si>
    <t>2250.55</t>
  </si>
  <si>
    <t>183.240</t>
  </si>
  <si>
    <t>2248.15</t>
  </si>
  <si>
    <t>20.65</t>
  </si>
  <si>
    <t>111.1</t>
  </si>
  <si>
    <t>4909</t>
  </si>
  <si>
    <t>2245.86</t>
  </si>
  <si>
    <t>-0.10</t>
  </si>
  <si>
    <t>183.8</t>
  </si>
  <si>
    <t>44.6615</t>
  </si>
  <si>
    <t>2283.81</t>
  </si>
  <si>
    <t>183.888</t>
  </si>
  <si>
    <t>2281.31</t>
  </si>
  <si>
    <t>100.300</t>
  </si>
  <si>
    <t>111.5</t>
  </si>
  <si>
    <t>4981</t>
  </si>
  <si>
    <t>2278.80</t>
  </si>
  <si>
    <t>-0.11</t>
  </si>
  <si>
    <t>-0.05</t>
  </si>
  <si>
    <t>44.3190</t>
  </si>
  <si>
    <t>2257.33</t>
  </si>
  <si>
    <t>183.140</t>
  </si>
  <si>
    <t>2254.60</t>
  </si>
  <si>
    <t>20.53</t>
  </si>
  <si>
    <t>4925</t>
  </si>
  <si>
    <t>2253.18</t>
  </si>
  <si>
    <t>-0.06</t>
  </si>
  <si>
    <t>44.4034</t>
  </si>
  <si>
    <t>2275.57</t>
  </si>
  <si>
    <t>184.250</t>
  </si>
  <si>
    <t>2272.59</t>
  </si>
  <si>
    <t>100.299</t>
  </si>
  <si>
    <t>20.45</t>
  </si>
  <si>
    <t>111.9</t>
  </si>
  <si>
    <t>4968</t>
  </si>
  <si>
    <t>2272.85</t>
  </si>
  <si>
    <t>90</t>
    <phoneticPr fontId="11" type="noConversion"/>
  </si>
  <si>
    <t>43.9658</t>
  </si>
  <si>
    <t>1121.09</t>
  </si>
  <si>
    <t>90.2962</t>
  </si>
  <si>
    <t>1102.76</t>
  </si>
  <si>
    <t>100.444</t>
  </si>
  <si>
    <t>20.11</t>
  </si>
  <si>
    <t>54.9</t>
  </si>
  <si>
    <t>2415</t>
  </si>
  <si>
    <t>1104.86</t>
  </si>
  <si>
    <t>0.18</t>
  </si>
  <si>
    <t>0.10</t>
  </si>
  <si>
    <t>44.9104</t>
  </si>
  <si>
    <t>1148.22</t>
  </si>
  <si>
    <t>90.5420</t>
  </si>
  <si>
    <t>1129.52</t>
  </si>
  <si>
    <t>20.10</t>
  </si>
  <si>
    <t>55.0</t>
  </si>
  <si>
    <t>2471</t>
  </si>
  <si>
    <t>1130.48</t>
  </si>
  <si>
    <t>0.08</t>
  </si>
  <si>
    <t>44.3880</t>
  </si>
  <si>
    <t>1134.25</t>
  </si>
  <si>
    <t>90.5052</t>
  </si>
  <si>
    <t>1115.93</t>
  </si>
  <si>
    <t>20.13</t>
  </si>
  <si>
    <t>55.1</t>
  </si>
  <si>
    <t>2446</t>
  </si>
  <si>
    <t>1119.04</t>
  </si>
  <si>
    <t>90.41</t>
  </si>
  <si>
    <t>44.3315</t>
  </si>
  <si>
    <t>1131.52</t>
  </si>
  <si>
    <t>90.4099</t>
  </si>
  <si>
    <t>1113.33</t>
  </si>
  <si>
    <t>2439</t>
  </si>
  <si>
    <t>1115.84</t>
  </si>
  <si>
    <t>44.5391</t>
  </si>
  <si>
    <t>1137.34</t>
  </si>
  <si>
    <t>90.4449</t>
  </si>
  <si>
    <t>1118.98</t>
  </si>
  <si>
    <t>2453</t>
  </si>
  <si>
    <t>1122.24</t>
  </si>
  <si>
    <t>44.3435</t>
  </si>
  <si>
    <t>1131.58</t>
  </si>
  <si>
    <t>90.3752</t>
  </si>
  <si>
    <t>1113.21</t>
  </si>
  <si>
    <t>100.443</t>
  </si>
  <si>
    <t>20.05</t>
  </si>
  <si>
    <t>2441</t>
  </si>
  <si>
    <t>1116.75</t>
  </si>
  <si>
    <t>0.32</t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</si>
  <si>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</si>
  <si>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 xml:space="preserve"> ( 90.0～900.0 )m^3/h</t>
  </si>
  <si>
    <t>2.18580 1/L</t>
  </si>
  <si>
    <t>20.79℃</t>
  </si>
  <si>
    <t>101.377kPa</t>
  </si>
  <si>
    <t>91.61</t>
  </si>
  <si>
    <t>59.6076</t>
  </si>
  <si>
    <t>1515.81</t>
  </si>
  <si>
    <t>91.5855</t>
  </si>
  <si>
    <t>1516.44</t>
  </si>
  <si>
    <t>101.377</t>
  </si>
  <si>
    <t>20.79</t>
  </si>
  <si>
    <t>55.9</t>
  </si>
  <si>
    <t>3330</t>
  </si>
  <si>
    <t>1523.47</t>
  </si>
  <si>
    <t>0.46</t>
  </si>
  <si>
    <t>0.33</t>
  </si>
  <si>
    <t>0.14</t>
  </si>
  <si>
    <t>59.7684</t>
  </si>
  <si>
    <t>1519.51</t>
  </si>
  <si>
    <t>91.5575</t>
  </si>
  <si>
    <t>1520.07</t>
  </si>
  <si>
    <t>20.74</t>
  </si>
  <si>
    <t>55.8</t>
  </si>
  <si>
    <t>3334</t>
  </si>
  <si>
    <t>1525.30</t>
  </si>
  <si>
    <t>0.34</t>
  </si>
  <si>
    <t>59.4774</t>
  </si>
  <si>
    <t>1514.34</t>
  </si>
  <si>
    <t>91.6908</t>
  </si>
  <si>
    <t>1514.87</t>
  </si>
  <si>
    <t>20.73</t>
  </si>
  <si>
    <t>3317</t>
  </si>
  <si>
    <t>1517.52</t>
  </si>
  <si>
    <t>2026E70-40-000029</t>
    <phoneticPr fontId="3" type="noConversion"/>
  </si>
  <si>
    <t>2026.08.27 09:00~2026.08.27 16:00</t>
    <phoneticPr fontId="3" type="noConversion"/>
  </si>
  <si>
    <t>2026.11.02 09:00~2026.11.02 16:00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</si>
</sst>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3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sqref="A1:Q3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132</v>
      </c>
      <c r="I2" s="22"/>
      <c r="J2" s="22"/>
      <c r="K2" s="22"/>
      <c r="L2" s="22"/>
      <c r="M2" s="22"/>
      <c r="N2" s="22"/>
      <c r="O2" s="6" t="s">
        <v>3</v>
      </c>
      <c r="P2" s="6" t="s">
        <v>106</v>
      </c>
      <c r="Q2" s="22"/>
    </row>
    <row r="3" spans="1:17" ht="14.25" customHeight="1" x14ac:dyDescent="0.15">
      <c r="A3" s="6" t="s">
        <v>4</v>
      </c>
      <c r="B3" s="6" t="s">
        <v>107</v>
      </c>
      <c r="C3" s="22"/>
      <c r="D3" s="22"/>
      <c r="E3" s="22"/>
      <c r="F3" s="22"/>
      <c r="G3" s="6" t="s">
        <v>5</v>
      </c>
      <c r="H3" s="6" t="s">
        <v>133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108</v>
      </c>
      <c r="C4" s="22"/>
      <c r="D4" s="22"/>
      <c r="E4" s="22"/>
      <c r="F4" s="22"/>
      <c r="G4" s="6" t="s">
        <v>9</v>
      </c>
      <c r="H4" s="6" t="s">
        <v>134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109</v>
      </c>
      <c r="C5" s="22"/>
      <c r="D5" s="22"/>
      <c r="E5" s="22"/>
      <c r="F5" s="22"/>
      <c r="G5" s="6" t="s">
        <v>13</v>
      </c>
      <c r="H5" s="6" t="s">
        <v>135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110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 t="s">
        <v>136</v>
      </c>
      <c r="Q6" s="6" t="s">
        <v>137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123</v>
      </c>
      <c r="Q7" s="6" t="s">
        <v>138</v>
      </c>
    </row>
    <row r="8" spans="1:17" ht="14.25" customHeight="1" x14ac:dyDescent="0.15">
      <c r="A8" s="6" t="s">
        <v>25</v>
      </c>
      <c r="B8" s="6" t="s">
        <v>139</v>
      </c>
      <c r="C8" s="22"/>
      <c r="D8" s="6" t="s">
        <v>26</v>
      </c>
      <c r="E8" s="6" t="s">
        <v>140</v>
      </c>
      <c r="F8" s="22"/>
      <c r="G8" s="6" t="s">
        <v>27</v>
      </c>
      <c r="H8" s="6" t="s">
        <v>107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141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142</v>
      </c>
      <c r="B15" s="6" t="s">
        <v>55</v>
      </c>
      <c r="C15" s="6" t="s">
        <v>143</v>
      </c>
      <c r="D15" s="6" t="s">
        <v>144</v>
      </c>
      <c r="E15" s="6" t="s">
        <v>145</v>
      </c>
      <c r="F15" s="6" t="s">
        <v>146</v>
      </c>
      <c r="G15" s="6" t="s">
        <v>147</v>
      </c>
      <c r="H15" s="6" t="s">
        <v>148</v>
      </c>
      <c r="I15" s="22"/>
      <c r="J15" s="22"/>
      <c r="K15" s="22"/>
      <c r="L15" s="6" t="s">
        <v>149</v>
      </c>
      <c r="M15" s="6" t="s">
        <v>150</v>
      </c>
      <c r="N15" s="6" t="s">
        <v>151</v>
      </c>
      <c r="O15" s="6" t="s">
        <v>152</v>
      </c>
      <c r="P15" s="6" t="s">
        <v>153</v>
      </c>
      <c r="Q15" s="6" t="s">
        <v>130</v>
      </c>
    </row>
    <row r="16" spans="1:17" ht="14.25" customHeight="1" x14ac:dyDescent="0.15">
      <c r="A16" s="22"/>
      <c r="B16" s="6" t="s">
        <v>57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  <c r="H16" s="6" t="s">
        <v>56</v>
      </c>
      <c r="I16" s="22"/>
      <c r="J16" s="22"/>
      <c r="K16" s="22"/>
      <c r="L16" s="6" t="s">
        <v>159</v>
      </c>
      <c r="M16" s="6" t="s">
        <v>160</v>
      </c>
      <c r="N16" s="6" t="s">
        <v>161</v>
      </c>
      <c r="O16" s="6" t="s">
        <v>162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163</v>
      </c>
      <c r="D17" s="6" t="s">
        <v>164</v>
      </c>
      <c r="E17" s="6" t="s">
        <v>165</v>
      </c>
      <c r="F17" s="6" t="s">
        <v>166</v>
      </c>
      <c r="G17" s="6" t="s">
        <v>167</v>
      </c>
      <c r="H17" s="6" t="s">
        <v>168</v>
      </c>
      <c r="I17" s="22"/>
      <c r="J17" s="22"/>
      <c r="K17" s="22"/>
      <c r="L17" s="6" t="s">
        <v>169</v>
      </c>
      <c r="M17" s="6" t="s">
        <v>170</v>
      </c>
      <c r="N17" s="6" t="s">
        <v>171</v>
      </c>
      <c r="O17" s="6" t="s">
        <v>172</v>
      </c>
      <c r="P17" s="22"/>
      <c r="Q17" s="22"/>
    </row>
    <row r="18" spans="1:17" ht="14.25" customHeight="1" x14ac:dyDescent="0.15">
      <c r="A18" s="6" t="s">
        <v>173</v>
      </c>
      <c r="B18" s="6" t="s">
        <v>55</v>
      </c>
      <c r="C18" s="6" t="s">
        <v>174</v>
      </c>
      <c r="D18" s="6" t="s">
        <v>175</v>
      </c>
      <c r="E18" s="6" t="s">
        <v>176</v>
      </c>
      <c r="F18" s="6" t="s">
        <v>177</v>
      </c>
      <c r="G18" s="6" t="s">
        <v>178</v>
      </c>
      <c r="H18" s="6" t="s">
        <v>179</v>
      </c>
      <c r="I18" s="22"/>
      <c r="J18" s="22"/>
      <c r="K18" s="22"/>
      <c r="L18" s="6" t="s">
        <v>180</v>
      </c>
      <c r="M18" s="6" t="s">
        <v>181</v>
      </c>
      <c r="N18" s="6" t="s">
        <v>182</v>
      </c>
      <c r="O18" s="6" t="s">
        <v>183</v>
      </c>
      <c r="P18" s="6" t="s">
        <v>184</v>
      </c>
      <c r="Q18" s="6" t="s">
        <v>185</v>
      </c>
    </row>
    <row r="19" spans="1:17" x14ac:dyDescent="0.15">
      <c r="A19" s="22"/>
      <c r="B19" s="6" t="s">
        <v>57</v>
      </c>
      <c r="C19" s="6" t="s">
        <v>186</v>
      </c>
      <c r="D19" s="6" t="s">
        <v>187</v>
      </c>
      <c r="E19" s="6" t="s">
        <v>188</v>
      </c>
      <c r="F19" s="6" t="s">
        <v>189</v>
      </c>
      <c r="G19" s="6" t="s">
        <v>190</v>
      </c>
      <c r="H19" s="6" t="s">
        <v>191</v>
      </c>
      <c r="I19" s="22"/>
      <c r="J19" s="22"/>
      <c r="K19" s="22"/>
      <c r="L19" s="6" t="s">
        <v>192</v>
      </c>
      <c r="M19" s="6" t="s">
        <v>193</v>
      </c>
      <c r="N19" s="6" t="s">
        <v>194</v>
      </c>
      <c r="O19" s="6" t="s">
        <v>195</v>
      </c>
      <c r="P19" s="22"/>
      <c r="Q19" s="22"/>
    </row>
    <row r="20" spans="1:17" x14ac:dyDescent="0.15">
      <c r="A20" s="22"/>
      <c r="B20" s="6" t="s">
        <v>58</v>
      </c>
      <c r="C20" s="6" t="s">
        <v>196</v>
      </c>
      <c r="D20" s="6" t="s">
        <v>197</v>
      </c>
      <c r="E20" s="6" t="s">
        <v>198</v>
      </c>
      <c r="F20" s="6" t="s">
        <v>199</v>
      </c>
      <c r="G20" s="6" t="s">
        <v>200</v>
      </c>
      <c r="H20" s="6" t="s">
        <v>201</v>
      </c>
      <c r="I20" s="22"/>
      <c r="J20" s="22"/>
      <c r="K20" s="22"/>
      <c r="L20" s="6" t="s">
        <v>202</v>
      </c>
      <c r="M20" s="6" t="s">
        <v>203</v>
      </c>
      <c r="N20" s="6" t="s">
        <v>204</v>
      </c>
      <c r="O20" s="6" t="s">
        <v>205</v>
      </c>
      <c r="P20" s="22"/>
      <c r="Q20" s="22"/>
    </row>
    <row r="21" spans="1:17" x14ac:dyDescent="0.15">
      <c r="A21" s="6" t="s">
        <v>206</v>
      </c>
      <c r="B21" s="6" t="s">
        <v>55</v>
      </c>
      <c r="C21" s="6" t="s">
        <v>207</v>
      </c>
      <c r="D21" s="6" t="s">
        <v>208</v>
      </c>
      <c r="E21" s="6" t="s">
        <v>209</v>
      </c>
      <c r="F21" s="6" t="s">
        <v>210</v>
      </c>
      <c r="G21" s="6" t="s">
        <v>211</v>
      </c>
      <c r="H21" s="6" t="s">
        <v>212</v>
      </c>
      <c r="I21" s="22"/>
      <c r="J21" s="22"/>
      <c r="K21" s="22"/>
      <c r="L21" s="6" t="s">
        <v>213</v>
      </c>
      <c r="M21" s="6" t="s">
        <v>214</v>
      </c>
      <c r="N21" s="6" t="s">
        <v>215</v>
      </c>
      <c r="O21" s="6" t="s">
        <v>119</v>
      </c>
      <c r="P21" s="6" t="s">
        <v>216</v>
      </c>
      <c r="Q21" s="6" t="s">
        <v>217</v>
      </c>
    </row>
    <row r="22" spans="1:17" x14ac:dyDescent="0.15">
      <c r="A22" s="22"/>
      <c r="B22" s="6" t="s">
        <v>57</v>
      </c>
      <c r="C22" s="6" t="s">
        <v>218</v>
      </c>
      <c r="D22" s="6" t="s">
        <v>219</v>
      </c>
      <c r="E22" s="6" t="s">
        <v>220</v>
      </c>
      <c r="F22" s="6" t="s">
        <v>221</v>
      </c>
      <c r="G22" s="6" t="s">
        <v>222</v>
      </c>
      <c r="H22" s="6" t="s">
        <v>223</v>
      </c>
      <c r="I22" s="22"/>
      <c r="J22" s="22"/>
      <c r="K22" s="22"/>
      <c r="L22" s="6" t="s">
        <v>224</v>
      </c>
      <c r="M22" s="6" t="s">
        <v>225</v>
      </c>
      <c r="N22" s="6" t="s">
        <v>226</v>
      </c>
      <c r="O22" s="6" t="s">
        <v>131</v>
      </c>
      <c r="P22" s="22"/>
      <c r="Q22" s="22"/>
    </row>
    <row r="23" spans="1:17" x14ac:dyDescent="0.15">
      <c r="A23" s="22"/>
      <c r="B23" s="6" t="s">
        <v>58</v>
      </c>
      <c r="C23" s="6" t="s">
        <v>227</v>
      </c>
      <c r="D23" s="6" t="s">
        <v>228</v>
      </c>
      <c r="E23" s="6" t="s">
        <v>229</v>
      </c>
      <c r="F23" s="6" t="s">
        <v>230</v>
      </c>
      <c r="G23" s="6" t="s">
        <v>231</v>
      </c>
      <c r="H23" s="6" t="s">
        <v>201</v>
      </c>
      <c r="I23" s="22"/>
      <c r="J23" s="22"/>
      <c r="K23" s="22"/>
      <c r="L23" s="6" t="s">
        <v>232</v>
      </c>
      <c r="M23" s="6" t="s">
        <v>233</v>
      </c>
      <c r="N23" s="6" t="s">
        <v>234</v>
      </c>
      <c r="O23" s="6" t="s">
        <v>235</v>
      </c>
      <c r="P23" s="22"/>
      <c r="Q23" s="22"/>
    </row>
    <row r="24" spans="1:17" x14ac:dyDescent="0.15">
      <c r="A24" s="6" t="s">
        <v>236</v>
      </c>
      <c r="B24" s="6" t="s">
        <v>55</v>
      </c>
      <c r="C24" s="6" t="s">
        <v>237</v>
      </c>
      <c r="D24" s="6" t="s">
        <v>238</v>
      </c>
      <c r="E24" s="6" t="s">
        <v>239</v>
      </c>
      <c r="F24" s="6" t="s">
        <v>240</v>
      </c>
      <c r="G24" s="6" t="s">
        <v>241</v>
      </c>
      <c r="H24" s="6" t="s">
        <v>242</v>
      </c>
      <c r="I24" s="22"/>
      <c r="J24" s="22"/>
      <c r="K24" s="22"/>
      <c r="L24" s="6" t="s">
        <v>243</v>
      </c>
      <c r="M24" s="6" t="s">
        <v>244</v>
      </c>
      <c r="N24" s="6" t="s">
        <v>245</v>
      </c>
      <c r="O24" s="6" t="s">
        <v>216</v>
      </c>
      <c r="P24" s="6" t="s">
        <v>127</v>
      </c>
      <c r="Q24" s="6" t="s">
        <v>217</v>
      </c>
    </row>
    <row r="25" spans="1:17" x14ac:dyDescent="0.15">
      <c r="A25" s="22"/>
      <c r="B25" s="6" t="s">
        <v>57</v>
      </c>
      <c r="C25" s="6" t="s">
        <v>246</v>
      </c>
      <c r="D25" s="6" t="s">
        <v>247</v>
      </c>
      <c r="E25" s="6" t="s">
        <v>248</v>
      </c>
      <c r="F25" s="6" t="s">
        <v>249</v>
      </c>
      <c r="G25" s="6" t="s">
        <v>250</v>
      </c>
      <c r="H25" s="6" t="s">
        <v>251</v>
      </c>
      <c r="I25" s="22"/>
      <c r="J25" s="22"/>
      <c r="K25" s="22"/>
      <c r="L25" s="6" t="s">
        <v>252</v>
      </c>
      <c r="M25" s="6" t="s">
        <v>253</v>
      </c>
      <c r="N25" s="6" t="s">
        <v>254</v>
      </c>
      <c r="O25" s="6" t="s">
        <v>121</v>
      </c>
      <c r="P25" s="22"/>
      <c r="Q25" s="22"/>
    </row>
    <row r="26" spans="1:17" x14ac:dyDescent="0.15">
      <c r="A26" s="22"/>
      <c r="B26" s="6" t="s">
        <v>58</v>
      </c>
      <c r="C26" s="6" t="s">
        <v>255</v>
      </c>
      <c r="D26" s="6" t="s">
        <v>256</v>
      </c>
      <c r="E26" s="6" t="s">
        <v>257</v>
      </c>
      <c r="F26" s="6" t="s">
        <v>258</v>
      </c>
      <c r="G26" s="6" t="s">
        <v>241</v>
      </c>
      <c r="H26" s="6" t="s">
        <v>259</v>
      </c>
      <c r="I26" s="22"/>
      <c r="J26" s="22"/>
      <c r="K26" s="22"/>
      <c r="L26" s="6" t="s">
        <v>213</v>
      </c>
      <c r="M26" s="6" t="s">
        <v>260</v>
      </c>
      <c r="N26" s="6" t="s">
        <v>261</v>
      </c>
      <c r="O26" s="6" t="s">
        <v>262</v>
      </c>
      <c r="P26" s="22"/>
      <c r="Q26" s="22"/>
    </row>
    <row r="27" spans="1:17" x14ac:dyDescent="0.15">
      <c r="A27" s="6" t="s">
        <v>263</v>
      </c>
      <c r="B27" s="6" t="s">
        <v>55</v>
      </c>
      <c r="C27" s="6" t="s">
        <v>264</v>
      </c>
      <c r="D27" s="6" t="s">
        <v>265</v>
      </c>
      <c r="E27" s="6" t="s">
        <v>266</v>
      </c>
      <c r="F27" s="6" t="s">
        <v>267</v>
      </c>
      <c r="G27" s="6" t="s">
        <v>268</v>
      </c>
      <c r="H27" s="6" t="s">
        <v>122</v>
      </c>
      <c r="I27" s="22"/>
      <c r="J27" s="22"/>
      <c r="K27" s="22"/>
      <c r="L27" s="6" t="s">
        <v>269</v>
      </c>
      <c r="M27" s="6" t="s">
        <v>270</v>
      </c>
      <c r="N27" s="6" t="s">
        <v>271</v>
      </c>
      <c r="O27" s="6" t="s">
        <v>124</v>
      </c>
      <c r="P27" s="6" t="s">
        <v>272</v>
      </c>
      <c r="Q27" s="6" t="s">
        <v>120</v>
      </c>
    </row>
    <row r="28" spans="1:17" x14ac:dyDescent="0.15">
      <c r="A28" s="22"/>
      <c r="B28" s="6" t="s">
        <v>57</v>
      </c>
      <c r="C28" s="6" t="s">
        <v>273</v>
      </c>
      <c r="D28" s="6" t="s">
        <v>274</v>
      </c>
      <c r="E28" s="6" t="s">
        <v>275</v>
      </c>
      <c r="F28" s="6" t="s">
        <v>276</v>
      </c>
      <c r="G28" s="6" t="s">
        <v>277</v>
      </c>
      <c r="H28" s="6" t="s">
        <v>118</v>
      </c>
      <c r="I28" s="22"/>
      <c r="J28" s="22"/>
      <c r="K28" s="22"/>
      <c r="L28" s="6" t="s">
        <v>278</v>
      </c>
      <c r="M28" s="6" t="s">
        <v>279</v>
      </c>
      <c r="N28" s="6" t="s">
        <v>280</v>
      </c>
      <c r="O28" s="6" t="s">
        <v>281</v>
      </c>
      <c r="P28" s="22"/>
      <c r="Q28" s="22"/>
    </row>
    <row r="29" spans="1:17" x14ac:dyDescent="0.15">
      <c r="A29" s="22"/>
      <c r="B29" s="6" t="s">
        <v>58</v>
      </c>
      <c r="C29" s="6" t="s">
        <v>282</v>
      </c>
      <c r="D29" s="6" t="s">
        <v>283</v>
      </c>
      <c r="E29" s="6" t="s">
        <v>284</v>
      </c>
      <c r="F29" s="6" t="s">
        <v>285</v>
      </c>
      <c r="G29" s="6" t="s">
        <v>277</v>
      </c>
      <c r="H29" s="6" t="s">
        <v>286</v>
      </c>
      <c r="I29" s="22"/>
      <c r="J29" s="22"/>
      <c r="K29" s="22"/>
      <c r="L29" s="6" t="s">
        <v>287</v>
      </c>
      <c r="M29" s="6" t="s">
        <v>288</v>
      </c>
      <c r="N29" s="6" t="s">
        <v>289</v>
      </c>
      <c r="O29" s="6" t="s">
        <v>290</v>
      </c>
      <c r="P29" s="22"/>
      <c r="Q29" s="22"/>
    </row>
    <row r="30" spans="1:17" x14ac:dyDescent="0.15">
      <c r="A30" s="6" t="s">
        <v>291</v>
      </c>
      <c r="B30" s="6" t="s">
        <v>55</v>
      </c>
      <c r="C30" s="6" t="s">
        <v>292</v>
      </c>
      <c r="D30" s="6" t="s">
        <v>293</v>
      </c>
      <c r="E30" s="6" t="s">
        <v>294</v>
      </c>
      <c r="F30" s="6" t="s">
        <v>295</v>
      </c>
      <c r="G30" s="6" t="s">
        <v>296</v>
      </c>
      <c r="H30" s="6" t="s">
        <v>56</v>
      </c>
      <c r="I30" s="22"/>
      <c r="J30" s="22"/>
      <c r="K30" s="22"/>
      <c r="L30" s="6" t="s">
        <v>297</v>
      </c>
      <c r="M30" s="6" t="s">
        <v>298</v>
      </c>
      <c r="N30" s="6" t="s">
        <v>299</v>
      </c>
      <c r="O30" s="6" t="s">
        <v>300</v>
      </c>
      <c r="P30" s="6" t="s">
        <v>301</v>
      </c>
      <c r="Q30" s="6" t="s">
        <v>119</v>
      </c>
    </row>
    <row r="31" spans="1:17" x14ac:dyDescent="0.15">
      <c r="A31" s="22"/>
      <c r="B31" s="6" t="s">
        <v>57</v>
      </c>
      <c r="C31" s="6" t="s">
        <v>302</v>
      </c>
      <c r="D31" s="6" t="s">
        <v>303</v>
      </c>
      <c r="E31" s="6" t="s">
        <v>304</v>
      </c>
      <c r="F31" s="6" t="s">
        <v>305</v>
      </c>
      <c r="G31" s="6" t="s">
        <v>296</v>
      </c>
      <c r="H31" s="6" t="s">
        <v>306</v>
      </c>
      <c r="I31" s="22"/>
      <c r="J31" s="22"/>
      <c r="K31" s="22"/>
      <c r="L31" s="6" t="s">
        <v>287</v>
      </c>
      <c r="M31" s="6" t="s">
        <v>307</v>
      </c>
      <c r="N31" s="6" t="s">
        <v>308</v>
      </c>
      <c r="O31" s="6" t="s">
        <v>309</v>
      </c>
      <c r="P31" s="22"/>
      <c r="Q31" s="22"/>
    </row>
    <row r="32" spans="1:17" x14ac:dyDescent="0.15">
      <c r="A32" s="22"/>
      <c r="B32" s="6" t="s">
        <v>58</v>
      </c>
      <c r="C32" s="6" t="s">
        <v>310</v>
      </c>
      <c r="D32" s="6" t="s">
        <v>311</v>
      </c>
      <c r="E32" s="6" t="s">
        <v>312</v>
      </c>
      <c r="F32" s="6" t="s">
        <v>313</v>
      </c>
      <c r="G32" s="6" t="s">
        <v>314</v>
      </c>
      <c r="H32" s="6" t="s">
        <v>315</v>
      </c>
      <c r="I32" s="22"/>
      <c r="J32" s="22"/>
      <c r="K32" s="22"/>
      <c r="L32" s="6" t="s">
        <v>316</v>
      </c>
      <c r="M32" s="6" t="s">
        <v>317</v>
      </c>
      <c r="N32" s="6" t="s">
        <v>318</v>
      </c>
      <c r="O32" s="6" t="s">
        <v>272</v>
      </c>
      <c r="P32" s="22"/>
      <c r="Q32" s="22"/>
    </row>
    <row r="33" spans="1:17" x14ac:dyDescent="0.15">
      <c r="A33" s="6" t="s">
        <v>319</v>
      </c>
      <c r="B33" s="6" t="s">
        <v>55</v>
      </c>
      <c r="C33" s="6" t="s">
        <v>320</v>
      </c>
      <c r="D33" s="6" t="s">
        <v>321</v>
      </c>
      <c r="E33" s="6" t="s">
        <v>322</v>
      </c>
      <c r="F33" s="6" t="s">
        <v>323</v>
      </c>
      <c r="G33" s="6" t="s">
        <v>324</v>
      </c>
      <c r="H33" s="6" t="s">
        <v>325</v>
      </c>
      <c r="I33" s="22"/>
      <c r="J33" s="22"/>
      <c r="K33" s="22"/>
      <c r="L33" s="6" t="s">
        <v>326</v>
      </c>
      <c r="M33" s="6" t="s">
        <v>327</v>
      </c>
      <c r="N33" s="6" t="s">
        <v>328</v>
      </c>
      <c r="O33" s="6" t="s">
        <v>129</v>
      </c>
      <c r="P33" s="6" t="s">
        <v>329</v>
      </c>
      <c r="Q33" s="6" t="s">
        <v>330</v>
      </c>
    </row>
    <row r="34" spans="1:17" x14ac:dyDescent="0.15">
      <c r="A34" s="22"/>
      <c r="B34" s="6" t="s">
        <v>57</v>
      </c>
      <c r="C34" s="6" t="s">
        <v>331</v>
      </c>
      <c r="D34" s="6" t="s">
        <v>332</v>
      </c>
      <c r="E34" s="6" t="s">
        <v>333</v>
      </c>
      <c r="F34" s="6" t="s">
        <v>334</v>
      </c>
      <c r="G34" s="6" t="s">
        <v>324</v>
      </c>
      <c r="H34" s="6" t="s">
        <v>335</v>
      </c>
      <c r="I34" s="22"/>
      <c r="J34" s="22"/>
      <c r="K34" s="22"/>
      <c r="L34" s="6" t="s">
        <v>336</v>
      </c>
      <c r="M34" s="6" t="s">
        <v>337</v>
      </c>
      <c r="N34" s="6" t="s">
        <v>338</v>
      </c>
      <c r="O34" s="6" t="s">
        <v>339</v>
      </c>
      <c r="P34" s="22"/>
      <c r="Q34" s="22"/>
    </row>
    <row r="35" spans="1:17" x14ac:dyDescent="0.15">
      <c r="A35" s="22"/>
      <c r="B35" s="6" t="s">
        <v>58</v>
      </c>
      <c r="C35" s="6" t="s">
        <v>340</v>
      </c>
      <c r="D35" s="6" t="s">
        <v>341</v>
      </c>
      <c r="E35" s="6" t="s">
        <v>342</v>
      </c>
      <c r="F35" s="6" t="s">
        <v>343</v>
      </c>
      <c r="G35" s="6" t="s">
        <v>324</v>
      </c>
      <c r="H35" s="6" t="s">
        <v>344</v>
      </c>
      <c r="I35" s="22"/>
      <c r="J35" s="22"/>
      <c r="K35" s="22"/>
      <c r="L35" s="6" t="s">
        <v>345</v>
      </c>
      <c r="M35" s="6" t="s">
        <v>346</v>
      </c>
      <c r="N35" s="6" t="s">
        <v>347</v>
      </c>
      <c r="O35" s="6" t="s">
        <v>128</v>
      </c>
      <c r="P35" s="22"/>
      <c r="Q35" s="22"/>
    </row>
    <row r="36" spans="1:17" x14ac:dyDescent="0.15">
      <c r="A36" s="6" t="s">
        <v>348</v>
      </c>
      <c r="B36" s="6" t="s">
        <v>55</v>
      </c>
      <c r="C36" s="6" t="s">
        <v>349</v>
      </c>
      <c r="D36" s="6" t="s">
        <v>350</v>
      </c>
      <c r="E36" s="6" t="s">
        <v>351</v>
      </c>
      <c r="F36" s="6" t="s">
        <v>352</v>
      </c>
      <c r="G36" s="6" t="s">
        <v>324</v>
      </c>
      <c r="H36" s="6" t="s">
        <v>344</v>
      </c>
      <c r="I36" s="22"/>
      <c r="J36" s="22"/>
      <c r="K36" s="22"/>
      <c r="L36" s="6" t="s">
        <v>336</v>
      </c>
      <c r="M36" s="6" t="s">
        <v>353</v>
      </c>
      <c r="N36" s="6" t="s">
        <v>354</v>
      </c>
      <c r="O36" s="6" t="s">
        <v>217</v>
      </c>
      <c r="P36" s="6" t="s">
        <v>128</v>
      </c>
      <c r="Q36" s="6" t="s">
        <v>125</v>
      </c>
    </row>
    <row r="37" spans="1:17" x14ac:dyDescent="0.15">
      <c r="A37" s="22"/>
      <c r="B37" s="6" t="s">
        <v>57</v>
      </c>
      <c r="C37" s="6" t="s">
        <v>355</v>
      </c>
      <c r="D37" s="6" t="s">
        <v>356</v>
      </c>
      <c r="E37" s="6" t="s">
        <v>357</v>
      </c>
      <c r="F37" s="6" t="s">
        <v>358</v>
      </c>
      <c r="G37" s="6" t="s">
        <v>324</v>
      </c>
      <c r="H37" s="6" t="s">
        <v>335</v>
      </c>
      <c r="I37" s="22"/>
      <c r="J37" s="22"/>
      <c r="K37" s="22"/>
      <c r="L37" s="6" t="s">
        <v>345</v>
      </c>
      <c r="M37" s="6" t="s">
        <v>359</v>
      </c>
      <c r="N37" s="6" t="s">
        <v>360</v>
      </c>
      <c r="O37" s="6" t="s">
        <v>126</v>
      </c>
      <c r="P37" s="22"/>
      <c r="Q37" s="22"/>
    </row>
    <row r="38" spans="1:17" x14ac:dyDescent="0.15">
      <c r="A38" s="22"/>
      <c r="B38" s="6" t="s">
        <v>58</v>
      </c>
      <c r="C38" s="6" t="s">
        <v>361</v>
      </c>
      <c r="D38" s="6" t="s">
        <v>362</v>
      </c>
      <c r="E38" s="6" t="s">
        <v>363</v>
      </c>
      <c r="F38" s="6" t="s">
        <v>364</v>
      </c>
      <c r="G38" s="6" t="s">
        <v>365</v>
      </c>
      <c r="H38" s="6" t="s">
        <v>366</v>
      </c>
      <c r="I38" s="22"/>
      <c r="J38" s="22"/>
      <c r="K38" s="22"/>
      <c r="L38" s="6" t="s">
        <v>336</v>
      </c>
      <c r="M38" s="6" t="s">
        <v>367</v>
      </c>
      <c r="N38" s="6" t="s">
        <v>368</v>
      </c>
      <c r="O38" s="6" t="s">
        <v>369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132</v>
      </c>
      <c r="I2" s="22"/>
      <c r="J2" s="22"/>
      <c r="K2" s="22"/>
      <c r="L2" s="22"/>
      <c r="M2" s="22"/>
      <c r="N2" s="22"/>
      <c r="O2" s="6" t="s">
        <v>3</v>
      </c>
      <c r="P2" s="6" t="s">
        <v>106</v>
      </c>
      <c r="Q2" s="22"/>
    </row>
    <row r="3" spans="1:17" ht="14.25" customHeight="1" x14ac:dyDescent="0.15">
      <c r="A3" s="6" t="s">
        <v>4</v>
      </c>
      <c r="B3" s="6" t="s">
        <v>107</v>
      </c>
      <c r="C3" s="22"/>
      <c r="D3" s="22"/>
      <c r="E3" s="22"/>
      <c r="F3" s="22"/>
      <c r="G3" s="6" t="s">
        <v>5</v>
      </c>
      <c r="H3" s="6" t="s">
        <v>133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108</v>
      </c>
      <c r="C4" s="22"/>
      <c r="D4" s="22"/>
      <c r="E4" s="22"/>
      <c r="F4" s="22"/>
      <c r="G4" s="6" t="s">
        <v>9</v>
      </c>
      <c r="H4" s="6" t="s">
        <v>371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109</v>
      </c>
      <c r="C5" s="22"/>
      <c r="D5" s="22"/>
      <c r="E5" s="22"/>
      <c r="F5" s="22"/>
      <c r="G5" s="6" t="s">
        <v>13</v>
      </c>
      <c r="H5" s="6" t="s">
        <v>372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110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373</v>
      </c>
      <c r="C8" s="22"/>
      <c r="D8" s="6" t="s">
        <v>26</v>
      </c>
      <c r="E8" s="6" t="s">
        <v>374</v>
      </c>
      <c r="F8" s="22"/>
      <c r="G8" s="6" t="s">
        <v>27</v>
      </c>
      <c r="H8" s="6" t="s">
        <v>107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375</v>
      </c>
      <c r="B15" s="6" t="s">
        <v>55</v>
      </c>
      <c r="C15" s="6" t="s">
        <v>376</v>
      </c>
      <c r="D15" s="6" t="s">
        <v>377</v>
      </c>
      <c r="E15" s="6" t="s">
        <v>378</v>
      </c>
      <c r="F15" s="6" t="s">
        <v>379</v>
      </c>
      <c r="G15" s="6" t="s">
        <v>380</v>
      </c>
      <c r="H15" s="6" t="s">
        <v>381</v>
      </c>
      <c r="I15" s="22"/>
      <c r="J15" s="22"/>
      <c r="K15" s="22"/>
      <c r="L15" s="6" t="s">
        <v>382</v>
      </c>
      <c r="M15" s="6" t="s">
        <v>383</v>
      </c>
      <c r="N15" s="6" t="s">
        <v>384</v>
      </c>
      <c r="O15" s="6" t="s">
        <v>385</v>
      </c>
      <c r="P15" s="6" t="s">
        <v>386</v>
      </c>
      <c r="Q15" s="6" t="s">
        <v>387</v>
      </c>
    </row>
    <row r="16" spans="1:17" ht="14.25" customHeight="1" x14ac:dyDescent="0.15">
      <c r="A16" s="22"/>
      <c r="B16" s="6" t="s">
        <v>57</v>
      </c>
      <c r="C16" s="6" t="s">
        <v>388</v>
      </c>
      <c r="D16" s="6" t="s">
        <v>389</v>
      </c>
      <c r="E16" s="6" t="s">
        <v>390</v>
      </c>
      <c r="F16" s="6" t="s">
        <v>391</v>
      </c>
      <c r="G16" s="6" t="s">
        <v>380</v>
      </c>
      <c r="H16" s="6" t="s">
        <v>392</v>
      </c>
      <c r="I16" s="22"/>
      <c r="J16" s="22"/>
      <c r="K16" s="22"/>
      <c r="L16" s="6" t="s">
        <v>393</v>
      </c>
      <c r="M16" s="6" t="s">
        <v>394</v>
      </c>
      <c r="N16" s="6" t="s">
        <v>395</v>
      </c>
      <c r="O16" s="6" t="s">
        <v>396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397</v>
      </c>
      <c r="D17" s="6" t="s">
        <v>398</v>
      </c>
      <c r="E17" s="6" t="s">
        <v>399</v>
      </c>
      <c r="F17" s="6" t="s">
        <v>400</v>
      </c>
      <c r="G17" s="6" t="s">
        <v>380</v>
      </c>
      <c r="H17" s="6" t="s">
        <v>401</v>
      </c>
      <c r="I17" s="22"/>
      <c r="J17" s="22"/>
      <c r="K17" s="22"/>
      <c r="L17" s="6" t="s">
        <v>393</v>
      </c>
      <c r="M17" s="6" t="s">
        <v>402</v>
      </c>
      <c r="N17" s="6" t="s">
        <v>403</v>
      </c>
      <c r="O17" s="6" t="s">
        <v>329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82" zoomScale="110" zoomScaleNormal="110" workbookViewId="0">
      <selection activeCell="L89" sqref="L89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44" t="s">
        <v>104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53" t="s">
        <v>59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61</v>
      </c>
      <c r="C4" s="27" t="str">
        <f>初始!B3</f>
        <v>涡街流量计</v>
      </c>
      <c r="D4" s="27"/>
      <c r="E4" s="27"/>
      <c r="F4" s="27"/>
      <c r="G4" s="27"/>
      <c r="H4" s="27"/>
      <c r="I4" s="46" t="s">
        <v>64</v>
      </c>
      <c r="J4" s="47"/>
      <c r="K4" s="27" t="s">
        <v>404</v>
      </c>
      <c r="L4" s="27"/>
      <c r="M4" s="2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62</v>
      </c>
      <c r="C5" s="48" t="str">
        <f>初始!H2</f>
        <v>LUGB 080YDMEJCX2BB-251N15NN4</v>
      </c>
      <c r="D5" s="48"/>
      <c r="E5" s="48"/>
      <c r="F5" s="48"/>
      <c r="G5" s="48"/>
      <c r="H5" s="48"/>
      <c r="I5" s="46" t="s">
        <v>65</v>
      </c>
      <c r="J5" s="47"/>
      <c r="K5" s="49" t="str">
        <f>初始!B4</f>
        <v>上海自仪海莱特流量仪表有限公司</v>
      </c>
      <c r="L5" s="49"/>
      <c r="M5" s="4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63</v>
      </c>
      <c r="C6" s="49" t="str">
        <f>初始!H3</f>
        <v>2026010014</v>
      </c>
      <c r="D6" s="49"/>
      <c r="E6" s="49"/>
      <c r="F6" s="49"/>
      <c r="G6" s="49"/>
      <c r="H6" s="49"/>
      <c r="I6" s="46" t="s">
        <v>66</v>
      </c>
      <c r="J6" s="71"/>
      <c r="K6" s="14" t="str">
        <f>初始!B6</f>
        <v>(20-21)℃</v>
      </c>
      <c r="L6" s="16" t="s">
        <v>67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68</v>
      </c>
      <c r="C7" s="27" t="s">
        <v>113</v>
      </c>
      <c r="D7" s="27"/>
      <c r="E7" s="27"/>
      <c r="F7" s="27"/>
      <c r="G7" s="46" t="s">
        <v>60</v>
      </c>
      <c r="H7" s="47"/>
      <c r="I7" s="27" t="str">
        <f>SUBSTITUTE(初始!H4,"m^3","m³")</f>
        <v xml:space="preserve"> ( 90～900 )m³/h</v>
      </c>
      <c r="J7" s="27"/>
      <c r="K7" s="76"/>
      <c r="L7" s="76"/>
      <c r="M7" s="7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69</v>
      </c>
      <c r="C8" s="27" t="s">
        <v>72</v>
      </c>
      <c r="D8" s="27"/>
      <c r="E8" s="27"/>
      <c r="F8" s="27"/>
      <c r="G8" s="27"/>
      <c r="H8" s="27"/>
      <c r="I8" s="27"/>
      <c r="J8" s="16" t="s">
        <v>73</v>
      </c>
      <c r="K8" s="27" t="s">
        <v>370</v>
      </c>
      <c r="L8" s="27"/>
      <c r="M8" s="2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70</v>
      </c>
      <c r="C9" s="56">
        <v>1</v>
      </c>
      <c r="D9" s="56"/>
      <c r="E9" s="56"/>
      <c r="F9" s="5" t="s">
        <v>71</v>
      </c>
      <c r="G9" s="77"/>
      <c r="H9" s="77"/>
      <c r="I9" s="77"/>
      <c r="J9" s="77"/>
      <c r="K9" s="77"/>
      <c r="L9" s="77"/>
      <c r="M9" s="7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79</v>
      </c>
      <c r="C10" s="50" t="s">
        <v>112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111</v>
      </c>
      <c r="C11" s="50" t="s">
        <v>74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76</v>
      </c>
      <c r="C12" s="50" t="s">
        <v>74</v>
      </c>
      <c r="D12" s="33"/>
      <c r="E12" s="33"/>
      <c r="F12" s="21" t="s">
        <v>80</v>
      </c>
      <c r="G12" s="4"/>
      <c r="H12" s="4"/>
      <c r="I12" s="9">
        <v>2.5</v>
      </c>
      <c r="J12" s="4" t="s">
        <v>78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77</v>
      </c>
      <c r="C13" s="55" t="str">
        <f>初始!H5</f>
        <v>2.1858 1/L</v>
      </c>
      <c r="D13" s="55"/>
      <c r="E13" s="55"/>
      <c r="F13" s="55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85</v>
      </c>
      <c r="C14" s="27" t="s">
        <v>82</v>
      </c>
      <c r="D14" s="27"/>
      <c r="E14" s="12" t="str">
        <f>初始!A15</f>
        <v>900</v>
      </c>
      <c r="F14" s="4" t="s">
        <v>75</v>
      </c>
      <c r="G14" s="27" t="s">
        <v>83</v>
      </c>
      <c r="H14" s="27"/>
      <c r="I14" s="12" t="str">
        <f>初始!A33</f>
        <v>90</v>
      </c>
      <c r="J14" s="4" t="s">
        <v>75</v>
      </c>
      <c r="K14" s="13" t="s">
        <v>84</v>
      </c>
      <c r="L14" s="12" t="str">
        <f>初始!A27</f>
        <v>180</v>
      </c>
      <c r="M14" s="4" t="s">
        <v>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40" t="s">
        <v>91</v>
      </c>
      <c r="C15" s="34" t="s">
        <v>90</v>
      </c>
      <c r="D15" s="35"/>
      <c r="E15" s="60" t="s">
        <v>93</v>
      </c>
      <c r="F15" s="61"/>
      <c r="G15" s="60" t="s">
        <v>94</v>
      </c>
      <c r="H15" s="61"/>
      <c r="I15" s="25" t="s">
        <v>95</v>
      </c>
      <c r="J15" s="40" t="s">
        <v>100</v>
      </c>
      <c r="K15" s="25" t="s">
        <v>96</v>
      </c>
      <c r="L15" s="34" t="s">
        <v>114</v>
      </c>
      <c r="M15" s="7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41"/>
      <c r="C16" s="36"/>
      <c r="D16" s="37"/>
      <c r="E16" s="62"/>
      <c r="F16" s="63"/>
      <c r="G16" s="62"/>
      <c r="H16" s="63"/>
      <c r="I16" s="26"/>
      <c r="J16" s="41"/>
      <c r="K16" s="26"/>
      <c r="L16" s="79"/>
      <c r="M16" s="8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41"/>
      <c r="C17" s="36"/>
      <c r="D17" s="37"/>
      <c r="E17" s="64"/>
      <c r="F17" s="65"/>
      <c r="G17" s="64"/>
      <c r="H17" s="65"/>
      <c r="I17" s="26"/>
      <c r="J17" s="42"/>
      <c r="K17" s="26"/>
      <c r="L17" s="79"/>
      <c r="M17" s="8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42"/>
      <c r="C18" s="38"/>
      <c r="D18" s="39"/>
      <c r="E18" s="25" t="s">
        <v>92</v>
      </c>
      <c r="F18" s="25"/>
      <c r="G18" s="25" t="s">
        <v>92</v>
      </c>
      <c r="H18" s="25"/>
      <c r="I18" s="10" t="s">
        <v>97</v>
      </c>
      <c r="J18" s="10" t="s">
        <v>101</v>
      </c>
      <c r="K18" s="10" t="s">
        <v>97</v>
      </c>
      <c r="L18" s="81"/>
      <c r="M18" s="8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66" t="s">
        <v>98</v>
      </c>
      <c r="C19" s="25">
        <v>1</v>
      </c>
      <c r="D19" s="25"/>
      <c r="E19" s="30" t="str">
        <f>初始!N15</f>
        <v>11045.8</v>
      </c>
      <c r="F19" s="30"/>
      <c r="G19" s="31" t="str">
        <f>初始!F15</f>
        <v>10938.5</v>
      </c>
      <c r="H19" s="31"/>
      <c r="I19" s="15">
        <f>(E19-G19)/G19*100</f>
        <v>0.98093888558759679</v>
      </c>
      <c r="J19" s="73">
        <f>AVERAGE(I19:I24)</f>
        <v>0.81772628039749551</v>
      </c>
      <c r="K19" s="73">
        <f>STDEV(I19:I24)</f>
        <v>0.18410906980162398</v>
      </c>
      <c r="L19" s="83" t="s">
        <v>115</v>
      </c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67"/>
      <c r="C20" s="25">
        <v>2</v>
      </c>
      <c r="D20" s="25"/>
      <c r="E20" s="30" t="str">
        <f>初始!N16</f>
        <v>10946.6</v>
      </c>
      <c r="F20" s="30"/>
      <c r="G20" s="31" t="str">
        <f>初始!F16</f>
        <v>10889.5</v>
      </c>
      <c r="H20" s="31"/>
      <c r="I20" s="20">
        <f t="shared" ref="I20:I39" si="0">(E20-G20)/G20*100</f>
        <v>0.52435832682859973</v>
      </c>
      <c r="J20" s="74"/>
      <c r="K20" s="74"/>
      <c r="L20" s="36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67"/>
      <c r="C21" s="25">
        <v>3</v>
      </c>
      <c r="D21" s="25"/>
      <c r="E21" s="30" t="str">
        <f>初始!N17</f>
        <v>11164.3</v>
      </c>
      <c r="F21" s="30"/>
      <c r="G21" s="31" t="str">
        <f>初始!F17</f>
        <v>11077.2</v>
      </c>
      <c r="H21" s="31"/>
      <c r="I21" s="20">
        <f t="shared" si="0"/>
        <v>0.78629978694975744</v>
      </c>
      <c r="J21" s="74"/>
      <c r="K21" s="74"/>
      <c r="L21" s="36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67"/>
      <c r="C22" s="25">
        <v>4</v>
      </c>
      <c r="D22" s="25"/>
      <c r="E22" s="30" t="str">
        <f>初始!N18</f>
        <v>10929.6</v>
      </c>
      <c r="F22" s="30"/>
      <c r="G22" s="31" t="str">
        <f>初始!F18</f>
        <v>10853.2</v>
      </c>
      <c r="H22" s="31"/>
      <c r="I22" s="20">
        <f t="shared" si="0"/>
        <v>0.70393985184092833</v>
      </c>
      <c r="J22" s="74"/>
      <c r="K22" s="74"/>
      <c r="L22" s="36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67"/>
      <c r="C23" s="25">
        <v>5</v>
      </c>
      <c r="D23" s="25"/>
      <c r="E23" s="30" t="str">
        <f>初始!N19</f>
        <v>10833.6</v>
      </c>
      <c r="F23" s="30"/>
      <c r="G23" s="31" t="str">
        <f>初始!F19</f>
        <v>10725.8</v>
      </c>
      <c r="H23" s="31"/>
      <c r="I23" s="20">
        <f t="shared" si="0"/>
        <v>1.0050532361222575</v>
      </c>
      <c r="J23" s="74"/>
      <c r="K23" s="74"/>
      <c r="L23" s="36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68"/>
      <c r="C24" s="25">
        <v>6</v>
      </c>
      <c r="D24" s="25"/>
      <c r="E24" s="30" t="str">
        <f>初始!N20</f>
        <v>11151.5</v>
      </c>
      <c r="F24" s="30"/>
      <c r="G24" s="31" t="str">
        <f>初始!F20</f>
        <v>11051.4</v>
      </c>
      <c r="H24" s="31"/>
      <c r="I24" s="20">
        <f t="shared" si="0"/>
        <v>0.90576759505583326</v>
      </c>
      <c r="J24" s="75"/>
      <c r="K24" s="75"/>
      <c r="L24" s="36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66" t="s">
        <v>99</v>
      </c>
      <c r="C25" s="25">
        <v>1</v>
      </c>
      <c r="D25" s="25"/>
      <c r="E25" s="30" t="str">
        <f>初始!N21</f>
        <v>4648.18</v>
      </c>
      <c r="F25" s="30"/>
      <c r="G25" s="31" t="str">
        <f>初始!F21</f>
        <v>4645.39</v>
      </c>
      <c r="H25" s="31"/>
      <c r="I25" s="20">
        <f t="shared" si="0"/>
        <v>6.0059542901671627E-2</v>
      </c>
      <c r="J25" s="73">
        <f>AVERAGE(I25:I30)</f>
        <v>0.28672409826788248</v>
      </c>
      <c r="K25" s="73">
        <f>STDEV(I25:I30)</f>
        <v>0.21330931491118116</v>
      </c>
      <c r="L25" s="36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67"/>
      <c r="C26" s="25">
        <v>2</v>
      </c>
      <c r="D26" s="25"/>
      <c r="E26" s="30" t="str">
        <f>初始!N22</f>
        <v>4561.26</v>
      </c>
      <c r="F26" s="30"/>
      <c r="G26" s="31" t="str">
        <f>初始!F22</f>
        <v>4556.27</v>
      </c>
      <c r="H26" s="31"/>
      <c r="I26" s="20">
        <f t="shared" si="0"/>
        <v>0.10951940951699046</v>
      </c>
      <c r="J26" s="74"/>
      <c r="K26" s="74"/>
      <c r="L26" s="36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67"/>
      <c r="C27" s="25">
        <v>3</v>
      </c>
      <c r="D27" s="25"/>
      <c r="E27" s="30" t="str">
        <f>初始!N23</f>
        <v>4558.06</v>
      </c>
      <c r="F27" s="30"/>
      <c r="G27" s="31" t="str">
        <f>初始!F23</f>
        <v>4536.70</v>
      </c>
      <c r="H27" s="31"/>
      <c r="I27" s="20">
        <f t="shared" si="0"/>
        <v>0.47082681244077373</v>
      </c>
      <c r="J27" s="74"/>
      <c r="K27" s="74"/>
      <c r="L27" s="36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67"/>
      <c r="C28" s="25">
        <v>4</v>
      </c>
      <c r="D28" s="25"/>
      <c r="E28" s="30" t="str">
        <f>初始!N24</f>
        <v>4549.82</v>
      </c>
      <c r="F28" s="30"/>
      <c r="G28" s="31" t="str">
        <f>初始!F24</f>
        <v>4540.08</v>
      </c>
      <c r="H28" s="31"/>
      <c r="I28" s="20">
        <f t="shared" si="0"/>
        <v>0.21453366460502418</v>
      </c>
      <c r="J28" s="74"/>
      <c r="K28" s="74"/>
      <c r="L28" s="36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67"/>
      <c r="C29" s="25">
        <v>5</v>
      </c>
      <c r="D29" s="25"/>
      <c r="E29" s="30" t="str">
        <f>初始!N25</f>
        <v>4529.23</v>
      </c>
      <c r="F29" s="30"/>
      <c r="G29" s="31" t="str">
        <f>初始!F25</f>
        <v>4517.70</v>
      </c>
      <c r="H29" s="31"/>
      <c r="I29" s="20">
        <f t="shared" si="0"/>
        <v>0.2552183633264658</v>
      </c>
      <c r="J29" s="74"/>
      <c r="K29" s="74"/>
      <c r="L29" s="36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68"/>
      <c r="C30" s="25">
        <v>6</v>
      </c>
      <c r="D30" s="25"/>
      <c r="E30" s="30" t="str">
        <f>初始!N26</f>
        <v>4572.24</v>
      </c>
      <c r="F30" s="30"/>
      <c r="G30" s="31" t="str">
        <f>初始!F26</f>
        <v>4544.51</v>
      </c>
      <c r="H30" s="31"/>
      <c r="I30" s="20">
        <f t="shared" si="0"/>
        <v>0.61018679681636889</v>
      </c>
      <c r="J30" s="75"/>
      <c r="K30" s="75"/>
      <c r="L30" s="36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25" t="s">
        <v>84</v>
      </c>
      <c r="C31" s="25">
        <v>1</v>
      </c>
      <c r="D31" s="25"/>
      <c r="E31" s="30" t="str">
        <f>初始!N27</f>
        <v>2235.34</v>
      </c>
      <c r="F31" s="30"/>
      <c r="G31" s="31" t="str">
        <f>初始!F27</f>
        <v>2235.62</v>
      </c>
      <c r="H31" s="31"/>
      <c r="I31" s="20">
        <f t="shared" si="0"/>
        <v>-1.2524489850678798E-2</v>
      </c>
      <c r="J31" s="43">
        <f>AVERAGE(I31:I36)</f>
        <v>-2.4894425291678787E-2</v>
      </c>
      <c r="K31" s="43">
        <f>STDEV(I31:I36)</f>
        <v>8.836426645664501E-2</v>
      </c>
      <c r="L31" s="36"/>
      <c r="M31" s="3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25"/>
      <c r="C32" s="25">
        <v>2</v>
      </c>
      <c r="D32" s="25"/>
      <c r="E32" s="30" t="str">
        <f>初始!N28</f>
        <v>2270.11</v>
      </c>
      <c r="F32" s="30"/>
      <c r="G32" s="31" t="str">
        <f>初始!F28</f>
        <v>2267.24</v>
      </c>
      <c r="H32" s="31"/>
      <c r="I32" s="20">
        <f t="shared" si="0"/>
        <v>0.12658562834108192</v>
      </c>
      <c r="J32" s="43"/>
      <c r="K32" s="43"/>
      <c r="L32" s="36"/>
      <c r="M32" s="3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25"/>
      <c r="C33" s="25">
        <v>3</v>
      </c>
      <c r="D33" s="25"/>
      <c r="E33" s="30" t="str">
        <f>初始!N29</f>
        <v>2245.86</v>
      </c>
      <c r="F33" s="30"/>
      <c r="G33" s="31" t="str">
        <f>初始!F29</f>
        <v>2248.15</v>
      </c>
      <c r="H33" s="31"/>
      <c r="I33" s="20">
        <f t="shared" si="0"/>
        <v>-0.10186153059181832</v>
      </c>
      <c r="J33" s="43"/>
      <c r="K33" s="43"/>
      <c r="L33" s="36"/>
      <c r="M33" s="3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25"/>
      <c r="C34" s="25">
        <v>4</v>
      </c>
      <c r="D34" s="25"/>
      <c r="E34" s="30" t="str">
        <f>初始!N30</f>
        <v>2278.80</v>
      </c>
      <c r="F34" s="30"/>
      <c r="G34" s="31" t="str">
        <f>初始!F30</f>
        <v>2281.31</v>
      </c>
      <c r="H34" s="31"/>
      <c r="I34" s="20">
        <f t="shared" si="0"/>
        <v>-0.11002450346510398</v>
      </c>
      <c r="J34" s="43"/>
      <c r="K34" s="43"/>
      <c r="L34" s="36"/>
      <c r="M34" s="3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25"/>
      <c r="C35" s="25">
        <v>5</v>
      </c>
      <c r="D35" s="25"/>
      <c r="E35" s="30" t="str">
        <f>初始!N31</f>
        <v>2253.18</v>
      </c>
      <c r="F35" s="30"/>
      <c r="G35" s="31" t="str">
        <f>初始!F31</f>
        <v>2254.60</v>
      </c>
      <c r="H35" s="31"/>
      <c r="I35" s="20">
        <f t="shared" si="0"/>
        <v>-6.2982347201280611E-2</v>
      </c>
      <c r="J35" s="43"/>
      <c r="K35" s="43"/>
      <c r="L35" s="36"/>
      <c r="M35" s="3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25"/>
      <c r="C36" s="25">
        <v>6</v>
      </c>
      <c r="D36" s="25"/>
      <c r="E36" s="30" t="str">
        <f>初始!N32</f>
        <v>2272.85</v>
      </c>
      <c r="F36" s="30"/>
      <c r="G36" s="31" t="str">
        <f>初始!F32</f>
        <v>2272.59</v>
      </c>
      <c r="H36" s="31"/>
      <c r="I36" s="20">
        <f t="shared" si="0"/>
        <v>1.1440691017727066E-2</v>
      </c>
      <c r="J36" s="43"/>
      <c r="K36" s="43"/>
      <c r="L36" s="36"/>
      <c r="M36" s="3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25" t="s">
        <v>83</v>
      </c>
      <c r="C37" s="25">
        <v>1</v>
      </c>
      <c r="D37" s="25"/>
      <c r="E37" s="30" t="str">
        <f>初始!N33</f>
        <v>1104.86</v>
      </c>
      <c r="F37" s="30"/>
      <c r="G37" s="31" t="str">
        <f>初始!F33</f>
        <v>1102.76</v>
      </c>
      <c r="H37" s="31"/>
      <c r="I37" s="20">
        <f>(E37-G37)/G37*100</f>
        <v>0.19043128151183475</v>
      </c>
      <c r="J37" s="43">
        <f>AVERAGE(I37:I42)</f>
        <v>0.23148338024272533</v>
      </c>
      <c r="K37" s="43">
        <f>STDEV(I37:I42)</f>
        <v>8.5413659140474385E-2</v>
      </c>
      <c r="L37" s="36"/>
      <c r="M37" s="3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25"/>
      <c r="C38" s="25">
        <v>2</v>
      </c>
      <c r="D38" s="25"/>
      <c r="E38" s="30" t="str">
        <f>初始!N34</f>
        <v>1130.48</v>
      </c>
      <c r="F38" s="30"/>
      <c r="G38" s="31" t="str">
        <f>初始!F34</f>
        <v>1129.52</v>
      </c>
      <c r="H38" s="31"/>
      <c r="I38" s="20">
        <f t="shared" si="0"/>
        <v>8.4991854947237447E-2</v>
      </c>
      <c r="J38" s="43"/>
      <c r="K38" s="43"/>
      <c r="L38" s="36"/>
      <c r="M38" s="3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25"/>
      <c r="C39" s="25">
        <v>3</v>
      </c>
      <c r="D39" s="25"/>
      <c r="E39" s="30" t="str">
        <f>初始!N35</f>
        <v>1119.04</v>
      </c>
      <c r="F39" s="30"/>
      <c r="G39" s="31" t="str">
        <f>初始!F35</f>
        <v>1115.93</v>
      </c>
      <c r="H39" s="31"/>
      <c r="I39" s="20">
        <f t="shared" si="0"/>
        <v>0.27869131576352457</v>
      </c>
      <c r="J39" s="43"/>
      <c r="K39" s="43"/>
      <c r="L39" s="36"/>
      <c r="M39" s="3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25"/>
      <c r="C40" s="25">
        <v>4</v>
      </c>
      <c r="D40" s="25"/>
      <c r="E40" s="30" t="str">
        <f>初始!N36</f>
        <v>1115.84</v>
      </c>
      <c r="F40" s="30"/>
      <c r="G40" s="31" t="str">
        <f>初始!F36</f>
        <v>1113.33</v>
      </c>
      <c r="H40" s="31"/>
      <c r="I40" s="20">
        <f t="shared" ref="I40" si="1">(E40-G40)/G40*100</f>
        <v>0.2254497767957381</v>
      </c>
      <c r="J40" s="43"/>
      <c r="K40" s="43"/>
      <c r="L40" s="36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25"/>
      <c r="C41" s="25">
        <v>5</v>
      </c>
      <c r="D41" s="25"/>
      <c r="E41" s="30" t="str">
        <f>初始!N37</f>
        <v>1122.24</v>
      </c>
      <c r="F41" s="30"/>
      <c r="G41" s="31" t="str">
        <f>初始!F37</f>
        <v>1118.98</v>
      </c>
      <c r="H41" s="31"/>
      <c r="I41" s="20">
        <f>(E41-G41)/G41*100</f>
        <v>0.29133675311444274</v>
      </c>
      <c r="J41" s="43"/>
      <c r="K41" s="43"/>
      <c r="L41" s="36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25"/>
      <c r="C42" s="25">
        <v>6</v>
      </c>
      <c r="D42" s="25"/>
      <c r="E42" s="30" t="str">
        <f>初始!N38</f>
        <v>1116.75</v>
      </c>
      <c r="F42" s="30"/>
      <c r="G42" s="31" t="str">
        <f>初始!F38</f>
        <v>1113.21</v>
      </c>
      <c r="H42" s="31"/>
      <c r="I42" s="20">
        <f>(E42-G42)/G42*100</f>
        <v>0.31799929932357451</v>
      </c>
      <c r="J42" s="43"/>
      <c r="K42" s="43"/>
      <c r="L42" s="38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32" t="s">
        <v>86</v>
      </c>
      <c r="C47" s="33"/>
      <c r="D47" s="12"/>
      <c r="E47" s="12"/>
      <c r="F47" s="12"/>
      <c r="G47" s="32" t="s">
        <v>87</v>
      </c>
      <c r="H47" s="24"/>
      <c r="I47" s="12"/>
      <c r="J47" s="5" t="s">
        <v>88</v>
      </c>
      <c r="K47" s="84" t="s">
        <v>405</v>
      </c>
      <c r="L47" s="84"/>
      <c r="M47" s="8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28" t="s">
        <v>89</v>
      </c>
      <c r="M49" s="2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44" t="s">
        <v>104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53" t="s">
        <v>59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61</v>
      </c>
      <c r="C55" s="27" t="str">
        <f>C4</f>
        <v>涡街流量计</v>
      </c>
      <c r="D55" s="27"/>
      <c r="E55" s="27"/>
      <c r="F55" s="27"/>
      <c r="G55" s="27"/>
      <c r="H55" s="27"/>
      <c r="I55" s="46" t="s">
        <v>64</v>
      </c>
      <c r="J55" s="47"/>
      <c r="K55" s="27" t="str">
        <f>K4</f>
        <v>2026E70-40-000029</v>
      </c>
      <c r="L55" s="27"/>
      <c r="M55" s="2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62</v>
      </c>
      <c r="C56" s="48" t="str">
        <f>C5</f>
        <v>LUGB 080YDMEJCX2BB-251N15NN4</v>
      </c>
      <c r="D56" s="48"/>
      <c r="E56" s="48"/>
      <c r="F56" s="48"/>
      <c r="G56" s="48"/>
      <c r="H56" s="48"/>
      <c r="I56" s="46" t="s">
        <v>65</v>
      </c>
      <c r="J56" s="47"/>
      <c r="K56" s="27" t="str">
        <f>K5</f>
        <v>上海自仪海莱特流量仪表有限公司</v>
      </c>
      <c r="L56" s="27"/>
      <c r="M56" s="2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63</v>
      </c>
      <c r="C57" s="72" t="str">
        <f>C6</f>
        <v>2026010014</v>
      </c>
      <c r="D57" s="72"/>
      <c r="E57" s="72"/>
      <c r="F57" s="72"/>
      <c r="G57" s="72"/>
      <c r="H57" s="72"/>
      <c r="I57" s="46" t="s">
        <v>66</v>
      </c>
      <c r="J57" s="71"/>
      <c r="K57" s="14" t="str">
        <f>贮存环境电磁兼容后复测!B6</f>
        <v>(20-21)℃</v>
      </c>
      <c r="L57" s="16" t="s">
        <v>67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68</v>
      </c>
      <c r="C58" s="27" t="s">
        <v>81</v>
      </c>
      <c r="D58" s="27"/>
      <c r="E58" s="27"/>
      <c r="F58" s="27"/>
      <c r="G58" s="58" t="s">
        <v>60</v>
      </c>
      <c r="H58" s="59"/>
      <c r="I58" s="27" t="str">
        <f>I7</f>
        <v xml:space="preserve"> ( 90～900 )m³/h</v>
      </c>
      <c r="J58" s="27"/>
      <c r="K58" s="55"/>
      <c r="L58" s="55"/>
      <c r="M58" s="5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69</v>
      </c>
      <c r="C59" s="69" t="str">
        <f>C8</f>
        <v>张衡路1500号流量大力值楼101室</v>
      </c>
      <c r="D59" s="69"/>
      <c r="E59" s="69"/>
      <c r="F59" s="69"/>
      <c r="G59" s="27"/>
      <c r="H59" s="27"/>
      <c r="I59" s="27"/>
      <c r="J59" s="3" t="str">
        <f>J8</f>
        <v>技术依据：</v>
      </c>
      <c r="K59" s="27" t="str">
        <f>K8</f>
        <v>JJG 1029-2007附录A</v>
      </c>
      <c r="L59" s="27"/>
      <c r="M59" s="2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79</v>
      </c>
      <c r="C60" s="50" t="s">
        <v>116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85</v>
      </c>
      <c r="C61" s="27" t="s">
        <v>82</v>
      </c>
      <c r="D61" s="27"/>
      <c r="E61" s="12" t="str">
        <f>E14</f>
        <v>900</v>
      </c>
      <c r="F61" s="4" t="s">
        <v>75</v>
      </c>
      <c r="G61" s="27" t="s">
        <v>83</v>
      </c>
      <c r="H61" s="27"/>
      <c r="I61" s="12" t="str">
        <f>I14</f>
        <v>90</v>
      </c>
      <c r="J61" s="4" t="s">
        <v>75</v>
      </c>
      <c r="K61" s="13" t="s">
        <v>84</v>
      </c>
      <c r="L61" s="12" t="str">
        <f>L14</f>
        <v>180</v>
      </c>
      <c r="M61" s="4" t="s">
        <v>75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40" t="s">
        <v>91</v>
      </c>
      <c r="C62" s="34" t="s">
        <v>90</v>
      </c>
      <c r="D62" s="35"/>
      <c r="E62" s="60" t="s">
        <v>93</v>
      </c>
      <c r="F62" s="61"/>
      <c r="G62" s="60" t="s">
        <v>94</v>
      </c>
      <c r="H62" s="61"/>
      <c r="I62" s="25" t="s">
        <v>95</v>
      </c>
      <c r="J62" s="60" t="s">
        <v>103</v>
      </c>
      <c r="K62" s="61"/>
      <c r="L62" s="25" t="s">
        <v>102</v>
      </c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41"/>
      <c r="C63" s="36"/>
      <c r="D63" s="37"/>
      <c r="E63" s="62"/>
      <c r="F63" s="63"/>
      <c r="G63" s="62"/>
      <c r="H63" s="63"/>
      <c r="I63" s="26"/>
      <c r="J63" s="62"/>
      <c r="K63" s="63"/>
      <c r="L63" s="25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41"/>
      <c r="C64" s="36"/>
      <c r="D64" s="37"/>
      <c r="E64" s="64"/>
      <c r="F64" s="65"/>
      <c r="G64" s="64"/>
      <c r="H64" s="65"/>
      <c r="I64" s="26"/>
      <c r="J64" s="64"/>
      <c r="K64" s="65"/>
      <c r="L64" s="25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42"/>
      <c r="C65" s="38"/>
      <c r="D65" s="39"/>
      <c r="E65" s="25" t="s">
        <v>92</v>
      </c>
      <c r="F65" s="25"/>
      <c r="G65" s="25" t="s">
        <v>92</v>
      </c>
      <c r="H65" s="25"/>
      <c r="I65" s="10" t="s">
        <v>97</v>
      </c>
      <c r="J65" s="25" t="s">
        <v>97</v>
      </c>
      <c r="K65" s="25"/>
      <c r="L65" s="25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66" t="s">
        <v>83</v>
      </c>
      <c r="C66" s="25">
        <v>1</v>
      </c>
      <c r="D66" s="25"/>
      <c r="E66" s="30" t="str">
        <f>贮存环境电磁兼容后复测!N15</f>
        <v>1523.47</v>
      </c>
      <c r="F66" s="30"/>
      <c r="G66" s="31" t="str">
        <f>贮存环境电磁兼容后复测!F15</f>
        <v>1516.44</v>
      </c>
      <c r="H66" s="31"/>
      <c r="I66" s="15">
        <f>(E66-G66)/G66*100</f>
        <v>0.46358576666402707</v>
      </c>
      <c r="J66" s="43">
        <f>AVERAGE(I66:I68)</f>
        <v>0.32752712382670646</v>
      </c>
      <c r="K66" s="43"/>
      <c r="L66" s="70" t="s">
        <v>117</v>
      </c>
      <c r="M66" s="3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67"/>
      <c r="C67" s="25">
        <v>2</v>
      </c>
      <c r="D67" s="25"/>
      <c r="E67" s="30" t="str">
        <f>贮存环境电磁兼容后复测!N16</f>
        <v>1525.30</v>
      </c>
      <c r="F67" s="30"/>
      <c r="G67" s="31" t="str">
        <f>贮存环境电磁兼容后复测!F16</f>
        <v>1520.07</v>
      </c>
      <c r="H67" s="31"/>
      <c r="I67" s="15">
        <f t="shared" ref="I67:I68" si="2">(E67-G67)/G67*100</f>
        <v>0.3440631023571295</v>
      </c>
      <c r="J67" s="43"/>
      <c r="K67" s="43"/>
      <c r="L67" s="36"/>
      <c r="M67" s="3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68"/>
      <c r="C68" s="25">
        <v>3</v>
      </c>
      <c r="D68" s="25"/>
      <c r="E68" s="30" t="str">
        <f>贮存环境电磁兼容后复测!N17</f>
        <v>1517.52</v>
      </c>
      <c r="F68" s="30"/>
      <c r="G68" s="31" t="str">
        <f>贮存环境电磁兼容后复测!F17</f>
        <v>1514.87</v>
      </c>
      <c r="H68" s="31"/>
      <c r="I68" s="15">
        <f t="shared" si="2"/>
        <v>0.17493250245896289</v>
      </c>
      <c r="J68" s="43"/>
      <c r="K68" s="43"/>
      <c r="L68" s="36"/>
      <c r="M68" s="3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32" t="s">
        <v>86</v>
      </c>
      <c r="C90" s="33"/>
      <c r="D90" s="12"/>
      <c r="E90" s="12"/>
      <c r="F90" s="12"/>
      <c r="G90" s="32" t="s">
        <v>87</v>
      </c>
      <c r="H90" s="24"/>
      <c r="I90" s="12"/>
      <c r="J90" s="23" t="s">
        <v>88</v>
      </c>
      <c r="K90" s="57" t="s">
        <v>406</v>
      </c>
      <c r="L90" s="57"/>
      <c r="M90" s="5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8" t="s">
        <v>89</v>
      </c>
      <c r="M92" s="2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1"/>
      <c r="M93" s="5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2026-10-21T02:17:28Z</dcterms:modified>
</cp:coreProperties>
</file>