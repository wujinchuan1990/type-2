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G36" i="3"/>
  <c r="G37" i="3"/>
  <c r="G38" i="3"/>
  <c r="G39" i="3"/>
  <c r="G31" i="3"/>
  <c r="G32" i="3"/>
  <c r="G33" i="3"/>
  <c r="G34" i="3"/>
  <c r="E40" i="3"/>
  <c r="E41" i="3"/>
  <c r="E42" i="3"/>
  <c r="E32" i="3"/>
  <c r="E33" i="3"/>
  <c r="E34" i="3"/>
  <c r="E35" i="3"/>
  <c r="E36" i="3"/>
  <c r="E37" i="3"/>
  <c r="E38" i="3"/>
  <c r="E39" i="3"/>
  <c r="E31" i="3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35" i="3" l="1"/>
  <c r="I34" i="3"/>
  <c r="I33" i="3"/>
  <c r="I31" i="3"/>
  <c r="I32" i="3"/>
  <c r="I26" i="3"/>
  <c r="I39" i="3"/>
  <c r="I25" i="3"/>
  <c r="I20" i="3"/>
  <c r="I27" i="3"/>
  <c r="I28" i="3"/>
  <c r="I21" i="3"/>
  <c r="I30" i="3"/>
  <c r="I22" i="3"/>
  <c r="I29" i="3"/>
  <c r="I23" i="3"/>
  <c r="I24" i="3"/>
  <c r="I37" i="3"/>
  <c r="I36" i="3"/>
  <c r="I38" i="3"/>
  <c r="I42" i="3"/>
  <c r="I40" i="3"/>
  <c r="I41" i="3"/>
  <c r="J31" i="3" l="1"/>
  <c r="J25" i="3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<sst xmlns="http://schemas.openxmlformats.org/spreadsheetml/2006/main" count="585" uniqueCount="406">
  <si>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</si>
  <si>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</si>
  <si>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</si>
  <si>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</si>
  <si>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</si>
  <si>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</si>
  <si>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</si>
  <si>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</si>
  <si>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</si>
  <si>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</si>
  <si>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</si>
  <si>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</si>
  <si>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</si>
  <si>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</si>
  <si>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</si>
  <si>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</si>
  <si>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</si>
  <si>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</si>
  <si>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</si>
  <si>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</si>
  <si>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</si>
  <si>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</si>
  <si>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</si>
  <si>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</si>
  <si>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</si>
  <si>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</si>
  <si>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</si>
  <si>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</si>
  <si>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</si>
  <si>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</si>
  <si>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</si>
  <si>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</si>
  <si>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</si>
  <si>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</si>
  <si>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</si>
  <si>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</si>
  <si>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</si>
  <si>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</si>
  <si>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</si>
  <si>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</si>
  <si>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</si>
  <si>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</si>
  <si>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</si>
  <si>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</si>
  <si>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</si>
  <si>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</si>
  <si>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脉冲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</si>
  <si>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</si>
  <si>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</si>
  <si>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</si>
  <si>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</si>
  <si>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</si>
  <si>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</si>
  <si>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</si>
  <si>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</si>
  <si>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</si>
  <si>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0.02</t>
  </si>
  <si>
    <t>2</t>
  </si>
  <si>
    <t>3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</si>
  <si>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</si>
  <si>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</si>
  <si>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</si>
  <si>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</si>
  <si>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</si>
  <si>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</si>
  <si>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</si>
  <si>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</si>
  <si>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</si>
  <si>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</si>
  <si>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</si>
  <si>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</si>
  <si>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</si>
  <si>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</si>
  <si>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</si>
  <si>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</si>
  <si>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</si>
  <si>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</si>
  <si>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</si>
  <si>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</si>
  <si>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</si>
  <si>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</si>
  <si>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</si>
  <si>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</si>
  <si>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</si>
  <si>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</si>
  <si>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</si>
  <si>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</si>
  <si>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</si>
  <si>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</si>
  <si>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</si>
  <si>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</si>
  <si>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</si>
  <si>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</si>
  <si>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</si>
  <si>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</si>
  <si>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</si>
  <si>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</si>
  <si>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</si>
  <si>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</si>
  <si>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</si>
  <si>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</si>
  <si>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</si>
  <si>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</si>
  <si>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</si>
  <si>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</si>
  <si>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2026E70-40-</t>
  </si>
  <si>
    <t>涡街流量计</t>
  </si>
  <si>
    <t>上海自仪海莱特流量仪表有限公司</t>
  </si>
  <si>
    <t>JJG 1029-2007《涡街流量计》</t>
  </si>
  <si>
    <t>(68-70)%RH</t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</si>
  <si>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</si>
  <si>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</si>
  <si>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</si>
  <si>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</si>
  <si>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</si>
  <si>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</si>
  <si>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</si>
  <si>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>0.06</t>
  </si>
  <si>
    <t>0.26</t>
  </si>
  <si>
    <t>LUGB 080YDMEJCX2BB-251N15NN4</t>
  </si>
  <si>
    <t xml:space="preserve"> ( 90～900 )m^3/h</t>
  </si>
  <si>
    <t>合 格</t>
  </si>
  <si>
    <t>0.13</t>
  </si>
  <si>
    <t>-0.11</t>
  </si>
  <si>
    <t>20.53</t>
  </si>
  <si>
    <t>0.08</t>
  </si>
  <si>
    <t>0.78%</t>
  </si>
  <si>
    <t>0.78</t>
  </si>
  <si>
    <t>20.22</t>
  </si>
  <si>
    <t>20.41</t>
  </si>
  <si>
    <t>-0.09</t>
  </si>
  <si>
    <t>99.787</t>
  </si>
  <si>
    <t>-0.03</t>
  </si>
  <si>
    <t>100.289</t>
  </si>
  <si>
    <t>0.09</t>
  </si>
  <si>
    <t>0.31</t>
  </si>
  <si>
    <t>2026010016</t>
  </si>
  <si>
    <t>2.1823 1/L</t>
  </si>
  <si>
    <t>0.14%</t>
  </si>
  <si>
    <t>0.31%</t>
  </si>
  <si>
    <t>0.24%</t>
  </si>
  <si>
    <t>20.69℃</t>
  </si>
  <si>
    <t>96.373kPa</t>
  </si>
  <si>
    <t>44.8665</t>
  </si>
  <si>
    <t>11110.5</t>
  </si>
  <si>
    <t>883.998</t>
  </si>
  <si>
    <t>11017.2</t>
  </si>
  <si>
    <t>95.985</t>
  </si>
  <si>
    <t>20.69</t>
  </si>
  <si>
    <t>538.8</t>
  </si>
  <si>
    <t>24175</t>
  </si>
  <si>
    <t>11077.8</t>
  </si>
  <si>
    <t>0.55</t>
  </si>
  <si>
    <t>0.20</t>
  </si>
  <si>
    <t>44.6487</t>
  </si>
  <si>
    <t>11059.5</t>
  </si>
  <si>
    <t>884.436</t>
  </si>
  <si>
    <t>10969.2</t>
  </si>
  <si>
    <t>95.988</t>
  </si>
  <si>
    <t>541.0</t>
  </si>
  <si>
    <t>24157</t>
  </si>
  <si>
    <t>11069.5</t>
  </si>
  <si>
    <t>0.91</t>
  </si>
  <si>
    <t>44.4913</t>
  </si>
  <si>
    <t>11007.6</t>
  </si>
  <si>
    <t>883.538</t>
  </si>
  <si>
    <t>10919.4</t>
  </si>
  <si>
    <t>95.990</t>
  </si>
  <si>
    <t>20.44</t>
  </si>
  <si>
    <t>540.2</t>
  </si>
  <si>
    <t>24036</t>
  </si>
  <si>
    <t>11014.1</t>
  </si>
  <si>
    <t>0.87</t>
  </si>
  <si>
    <t>883.5</t>
  </si>
  <si>
    <t>44.8812</t>
  </si>
  <si>
    <t>11091.4</t>
  </si>
  <si>
    <t>882.637</t>
  </si>
  <si>
    <t>11003.8</t>
  </si>
  <si>
    <t>20.31</t>
  </si>
  <si>
    <t>539.6</t>
  </si>
  <si>
    <t>24220</t>
  </si>
  <si>
    <t>11098.4</t>
  </si>
  <si>
    <t>0.86</t>
  </si>
  <si>
    <t>0.68</t>
  </si>
  <si>
    <t>0.16</t>
  </si>
  <si>
    <t>44.4604</t>
  </si>
  <si>
    <t>11003.3</t>
  </si>
  <si>
    <t>884.063</t>
  </si>
  <si>
    <t>10918.3</t>
  </si>
  <si>
    <t>95.995</t>
  </si>
  <si>
    <t>20.29</t>
  </si>
  <si>
    <t>539.2</t>
  </si>
  <si>
    <t>23973</t>
  </si>
  <si>
    <t>10985.2</t>
  </si>
  <si>
    <t>0.61</t>
  </si>
  <si>
    <t>44.2120</t>
  </si>
  <si>
    <t>10937.3</t>
  </si>
  <si>
    <t>883.775</t>
  </si>
  <si>
    <t>10853.7</t>
  </si>
  <si>
    <t>95.987</t>
  </si>
  <si>
    <t>20.26</t>
  </si>
  <si>
    <t>538.7</t>
  </si>
  <si>
    <t>23819</t>
  </si>
  <si>
    <t>10914.6</t>
  </si>
  <si>
    <t>0.56</t>
  </si>
  <si>
    <t>44.5250</t>
  </si>
  <si>
    <t>4359.33</t>
  </si>
  <si>
    <t>351.386</t>
  </si>
  <si>
    <t>4345.96</t>
  </si>
  <si>
    <t>20.23</t>
  </si>
  <si>
    <t>214.0</t>
  </si>
  <si>
    <t>9530</t>
  </si>
  <si>
    <t>4366.95</t>
  </si>
  <si>
    <t>0.48</t>
  </si>
  <si>
    <t>44.2882</t>
  </si>
  <si>
    <t>4347.85</t>
  </si>
  <si>
    <t>352.348</t>
  </si>
  <si>
    <t>4334.69</t>
  </si>
  <si>
    <t>20.25</t>
  </si>
  <si>
    <t>213.3</t>
  </si>
  <si>
    <t>9447</t>
  </si>
  <si>
    <t>4328.92</t>
  </si>
  <si>
    <t>-0.13</t>
  </si>
  <si>
    <t>44.0410</t>
  </si>
  <si>
    <t>4325.40</t>
  </si>
  <si>
    <t>352.504</t>
  </si>
  <si>
    <t>4312.40</t>
  </si>
  <si>
    <t>99.786</t>
  </si>
  <si>
    <t>214.2</t>
  </si>
  <si>
    <t>9435</t>
  </si>
  <si>
    <t>4323.42</t>
  </si>
  <si>
    <t>44.1500</t>
  </si>
  <si>
    <t>4330.14</t>
  </si>
  <si>
    <t>352.021</t>
  </si>
  <si>
    <t>4317.15</t>
  </si>
  <si>
    <t>99.774</t>
  </si>
  <si>
    <t>214.1</t>
  </si>
  <si>
    <t>9451</t>
  </si>
  <si>
    <t>4330.75</t>
  </si>
  <si>
    <t>0.32</t>
  </si>
  <si>
    <t>0.14</t>
  </si>
  <si>
    <t>0.24</t>
  </si>
  <si>
    <t>44.2403</t>
  </si>
  <si>
    <t>4352.43</t>
  </si>
  <si>
    <t>353.104</t>
  </si>
  <si>
    <t>4339.29</t>
  </si>
  <si>
    <t>99.781</t>
  </si>
  <si>
    <t>20.20</t>
  </si>
  <si>
    <t>213.7</t>
  </si>
  <si>
    <t>9456</t>
  </si>
  <si>
    <t>4333.04</t>
  </si>
  <si>
    <t>-0.14</t>
  </si>
  <si>
    <t>44.1950</t>
  </si>
  <si>
    <t>4341.51</t>
  </si>
  <si>
    <t>352.597</t>
  </si>
  <si>
    <t>4328.61</t>
  </si>
  <si>
    <t>99.782</t>
  </si>
  <si>
    <t>9468</t>
  </si>
  <si>
    <t>4338.54</t>
  </si>
  <si>
    <t>0.23</t>
  </si>
  <si>
    <t>44.5536</t>
  </si>
  <si>
    <t>2270.08</t>
  </si>
  <si>
    <t>183.108</t>
  </si>
  <si>
    <t>2266.14</t>
  </si>
  <si>
    <t>110.8</t>
  </si>
  <si>
    <t>4937</t>
  </si>
  <si>
    <t>2262.29</t>
  </si>
  <si>
    <t>-0.17</t>
  </si>
  <si>
    <t>0.12</t>
  </si>
  <si>
    <t>44.4818</t>
  </si>
  <si>
    <t>2249.04</t>
  </si>
  <si>
    <t>181.700</t>
  </si>
  <si>
    <t>2245.09</t>
  </si>
  <si>
    <t>100.292</t>
  </si>
  <si>
    <t>109.9</t>
  </si>
  <si>
    <t>4890</t>
  </si>
  <si>
    <t>2240.76</t>
  </si>
  <si>
    <t>-0.19</t>
  </si>
  <si>
    <t>44.2845</t>
  </si>
  <si>
    <t>2264.54</t>
  </si>
  <si>
    <t>183.766</t>
  </si>
  <si>
    <t>2260.55</t>
  </si>
  <si>
    <t>100.299</t>
  </si>
  <si>
    <t>20.24</t>
  </si>
  <si>
    <t>111.4</t>
  </si>
  <si>
    <t>4934</t>
  </si>
  <si>
    <t>2260.92</t>
  </si>
  <si>
    <t>181.5</t>
  </si>
  <si>
    <t>44.1485</t>
  </si>
  <si>
    <t>2231.41</t>
  </si>
  <si>
    <t>181.655</t>
  </si>
  <si>
    <t>2227.72</t>
  </si>
  <si>
    <t>100.303</t>
  </si>
  <si>
    <t>20.28</t>
  </si>
  <si>
    <t>110.3</t>
  </si>
  <si>
    <t>4868</t>
  </si>
  <si>
    <t>2230.67</t>
  </si>
  <si>
    <t>45.4905</t>
  </si>
  <si>
    <t>2300.05</t>
  </si>
  <si>
    <t>181.728</t>
  </si>
  <si>
    <t>2296.36</t>
  </si>
  <si>
    <t>100.304</t>
  </si>
  <si>
    <t>110.1</t>
  </si>
  <si>
    <t>5010</t>
  </si>
  <si>
    <t>2295.74</t>
  </si>
  <si>
    <t>43.8004</t>
  </si>
  <si>
    <t>2207.01</t>
  </si>
  <si>
    <t>181.103</t>
  </si>
  <si>
    <t>2203.45</t>
  </si>
  <si>
    <t>4813</t>
  </si>
  <si>
    <t>2205.47</t>
  </si>
  <si>
    <t>44.0546</t>
  </si>
  <si>
    <t>1144.93</t>
  </si>
  <si>
    <t>92.0563</t>
  </si>
  <si>
    <t>1126.53</t>
  </si>
  <si>
    <t>100.440</t>
  </si>
  <si>
    <t>55.8</t>
  </si>
  <si>
    <t>2458</t>
  </si>
  <si>
    <t>1126.33</t>
  </si>
  <si>
    <t>-0.02</t>
  </si>
  <si>
    <t>-0.04</t>
  </si>
  <si>
    <t>0.05</t>
  </si>
  <si>
    <t>45.1113</t>
  </si>
  <si>
    <t>1170.82</t>
  </si>
  <si>
    <t>91.9386</t>
  </si>
  <si>
    <t>1152.07</t>
  </si>
  <si>
    <t>100.461</t>
  </si>
  <si>
    <t>55.7</t>
  </si>
  <si>
    <t>2512</t>
  </si>
  <si>
    <t>1151.08</t>
  </si>
  <si>
    <t>44.7994</t>
  </si>
  <si>
    <t>1160.88</t>
  </si>
  <si>
    <t>91.7991</t>
  </si>
  <si>
    <t>1142.37</t>
  </si>
  <si>
    <t>100.441</t>
  </si>
  <si>
    <t>55.6</t>
  </si>
  <si>
    <t>2493</t>
  </si>
  <si>
    <t>-0.00</t>
  </si>
  <si>
    <t>91.72</t>
  </si>
  <si>
    <t>44.7936</t>
  </si>
  <si>
    <t>1159.35</t>
  </si>
  <si>
    <t>91.7737</t>
  </si>
  <si>
    <t>1141.91</t>
  </si>
  <si>
    <t>100.460</t>
  </si>
  <si>
    <t>20.33</t>
  </si>
  <si>
    <t>2499</t>
  </si>
  <si>
    <t>1145.12</t>
  </si>
  <si>
    <t>0.28</t>
  </si>
  <si>
    <t>44.6432</t>
  </si>
  <si>
    <t>1154.49</t>
  </si>
  <si>
    <t>91.7173</t>
  </si>
  <si>
    <t>1137.38</t>
  </si>
  <si>
    <t>20.37</t>
  </si>
  <si>
    <t>2484</t>
  </si>
  <si>
    <t>1138.25</t>
  </si>
  <si>
    <t>44.4072</t>
  </si>
  <si>
    <t>1147.49</t>
  </si>
  <si>
    <t>91.6677</t>
  </si>
  <si>
    <t>1130.75</t>
  </si>
  <si>
    <t>55.5</t>
  </si>
  <si>
    <t>2465</t>
  </si>
  <si>
    <t>1129.54</t>
  </si>
  <si>
    <t>900</t>
    <phoneticPr fontId="2" type="noConversion"/>
  </si>
  <si>
    <t>352.6</t>
    <phoneticPr fontId="2" type="noConversion"/>
  </si>
  <si>
    <t>360</t>
    <phoneticPr fontId="2" type="noConversion"/>
  </si>
  <si>
    <r>
      <t>18</t>
    </r>
    <r>
      <rPr>
        <sz val="12"/>
        <rFont val="宋体"/>
        <family val="3"/>
        <charset val="134"/>
      </rPr>
      <t>0</t>
    </r>
    <phoneticPr fontId="2" type="noConversion"/>
  </si>
  <si>
    <r>
      <t>9</t>
    </r>
    <r>
      <rPr>
        <sz val="12"/>
        <rFont val="宋体"/>
        <family val="3"/>
        <charset val="134"/>
      </rPr>
      <t>0</t>
    </r>
    <phoneticPr fontId="2" type="noConversion"/>
  </si>
  <si>
    <r>
      <t>JJG 1029-2007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</si>
  <si>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 xml:space="preserve"> ( 90.0～900.0 )m^3/h</t>
  </si>
  <si>
    <t>2.18230 1/L</t>
  </si>
  <si>
    <t>20.75℃</t>
  </si>
  <si>
    <t>101.365kPa</t>
  </si>
  <si>
    <t>93.55</t>
  </si>
  <si>
    <t>59.8016</t>
  </si>
  <si>
    <t>1548.80</t>
  </si>
  <si>
    <t>93.2735</t>
  </si>
  <si>
    <t>1549.42</t>
  </si>
  <si>
    <t>101.365</t>
  </si>
  <si>
    <t>20.75</t>
  </si>
  <si>
    <t>56.3</t>
  </si>
  <si>
    <t>3368</t>
  </si>
  <si>
    <t>1543.33</t>
  </si>
  <si>
    <t>-0.39</t>
  </si>
  <si>
    <t>-0.48</t>
  </si>
  <si>
    <t>59.5425</t>
  </si>
  <si>
    <t>1550.74</t>
  </si>
  <si>
    <t>93.8001</t>
  </si>
  <si>
    <t>1551.41</t>
  </si>
  <si>
    <t>101.364</t>
  </si>
  <si>
    <t>20.74</t>
  </si>
  <si>
    <t>56.6</t>
  </si>
  <si>
    <t>3371</t>
  </si>
  <si>
    <t>1544.70</t>
  </si>
  <si>
    <t>-0.43</t>
  </si>
  <si>
    <t>59.7668</t>
  </si>
  <si>
    <t>1552.94</t>
  </si>
  <si>
    <t>93.5829</t>
  </si>
  <si>
    <t>1553.65</t>
  </si>
  <si>
    <t>56.4</t>
  </si>
  <si>
    <t>3370</t>
  </si>
  <si>
    <t>1544.24</t>
  </si>
  <si>
    <t>-0.61</t>
  </si>
  <si>
    <t>2026E70-40-000029</t>
    <phoneticPr fontId="2" type="noConversion"/>
  </si>
  <si>
    <t>检测日期：</t>
    <phoneticPr fontId="2" type="noConversion"/>
  </si>
  <si>
    <t>2026.08.27 09:00~2026.08.27 16:00</t>
    <phoneticPr fontId="2" type="noConversion"/>
  </si>
  <si>
    <t>2026.11.02 09:00~2026.11.02 16:00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</si>
</sst>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2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12"/>
      <name val="宋体"/>
      <family val="3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0" fillId="0" borderId="0" xfId="0" quotePrefix="1" applyNumberFormat="1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79" fontId="4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activeCell="A34" sqref="A3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119</v>
      </c>
      <c r="I2" s="22"/>
      <c r="J2" s="22"/>
      <c r="K2" s="22"/>
      <c r="L2" s="22"/>
      <c r="M2" s="22"/>
      <c r="N2" s="22"/>
      <c r="O2" s="6" t="s">
        <v>3</v>
      </c>
      <c r="P2" s="6" t="s">
        <v>105</v>
      </c>
      <c r="Q2" s="22"/>
    </row>
    <row r="3" spans="1:17" ht="14.25" customHeight="1" x14ac:dyDescent="0.15">
      <c r="A3" s="6" t="s">
        <v>4</v>
      </c>
      <c r="B3" s="6" t="s">
        <v>106</v>
      </c>
      <c r="C3" s="22"/>
      <c r="D3" s="22"/>
      <c r="E3" s="22"/>
      <c r="F3" s="22"/>
      <c r="G3" s="6" t="s">
        <v>5</v>
      </c>
      <c r="H3" s="6" t="s">
        <v>136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107</v>
      </c>
      <c r="C4" s="22"/>
      <c r="D4" s="22"/>
      <c r="E4" s="22"/>
      <c r="F4" s="22"/>
      <c r="G4" s="6" t="s">
        <v>9</v>
      </c>
      <c r="H4" s="6" t="s">
        <v>120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108</v>
      </c>
      <c r="C5" s="22"/>
      <c r="D5" s="22"/>
      <c r="E5" s="22"/>
      <c r="F5" s="22"/>
      <c r="G5" s="6" t="s">
        <v>13</v>
      </c>
      <c r="H5" s="6" t="s">
        <v>137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109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 t="s">
        <v>126</v>
      </c>
      <c r="Q6" s="6" t="s">
        <v>138</v>
      </c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 t="s">
        <v>139</v>
      </c>
      <c r="Q7" s="6" t="s">
        <v>140</v>
      </c>
    </row>
    <row r="8" spans="1:17" ht="14.25" customHeight="1" x14ac:dyDescent="0.15">
      <c r="A8" s="6" t="s">
        <v>25</v>
      </c>
      <c r="B8" s="6" t="s">
        <v>141</v>
      </c>
      <c r="C8" s="22"/>
      <c r="D8" s="6" t="s">
        <v>26</v>
      </c>
      <c r="E8" s="6" t="s">
        <v>142</v>
      </c>
      <c r="F8" s="22"/>
      <c r="G8" s="6" t="s">
        <v>27</v>
      </c>
      <c r="H8" s="6" t="s">
        <v>106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 t="s">
        <v>121</v>
      </c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23" t="s">
        <v>362</v>
      </c>
      <c r="B15" s="6" t="s">
        <v>55</v>
      </c>
      <c r="C15" s="6" t="s">
        <v>143</v>
      </c>
      <c r="D15" s="6" t="s">
        <v>144</v>
      </c>
      <c r="E15" s="6" t="s">
        <v>145</v>
      </c>
      <c r="F15" s="6" t="s">
        <v>146</v>
      </c>
      <c r="G15" s="6" t="s">
        <v>147</v>
      </c>
      <c r="H15" s="6" t="s">
        <v>148</v>
      </c>
      <c r="I15" s="22"/>
      <c r="J15" s="22"/>
      <c r="K15" s="22"/>
      <c r="L15" s="6" t="s">
        <v>149</v>
      </c>
      <c r="M15" s="6" t="s">
        <v>150</v>
      </c>
      <c r="N15" s="6" t="s">
        <v>151</v>
      </c>
      <c r="O15" s="6" t="s">
        <v>152</v>
      </c>
      <c r="P15" s="6" t="s">
        <v>127</v>
      </c>
      <c r="Q15" s="6" t="s">
        <v>153</v>
      </c>
    </row>
    <row r="16" spans="1:17" ht="14.25" customHeight="1" x14ac:dyDescent="0.15">
      <c r="A16" s="22"/>
      <c r="B16" s="6" t="s">
        <v>57</v>
      </c>
      <c r="C16" s="6" t="s">
        <v>154</v>
      </c>
      <c r="D16" s="6" t="s">
        <v>155</v>
      </c>
      <c r="E16" s="6" t="s">
        <v>156</v>
      </c>
      <c r="F16" s="6" t="s">
        <v>157</v>
      </c>
      <c r="G16" s="6" t="s">
        <v>158</v>
      </c>
      <c r="H16" s="6" t="s">
        <v>124</v>
      </c>
      <c r="I16" s="22"/>
      <c r="J16" s="22"/>
      <c r="K16" s="22"/>
      <c r="L16" s="6" t="s">
        <v>159</v>
      </c>
      <c r="M16" s="6" t="s">
        <v>160</v>
      </c>
      <c r="N16" s="6" t="s">
        <v>161</v>
      </c>
      <c r="O16" s="6" t="s">
        <v>162</v>
      </c>
      <c r="P16" s="22"/>
      <c r="Q16" s="22"/>
    </row>
    <row r="17" spans="1:17" ht="14.25" customHeight="1" x14ac:dyDescent="0.15">
      <c r="A17" s="22"/>
      <c r="B17" s="6" t="s">
        <v>58</v>
      </c>
      <c r="C17" s="6" t="s">
        <v>163</v>
      </c>
      <c r="D17" s="6" t="s">
        <v>164</v>
      </c>
      <c r="E17" s="6" t="s">
        <v>165</v>
      </c>
      <c r="F17" s="6" t="s">
        <v>166</v>
      </c>
      <c r="G17" s="6" t="s">
        <v>167</v>
      </c>
      <c r="H17" s="6" t="s">
        <v>168</v>
      </c>
      <c r="I17" s="22"/>
      <c r="J17" s="22"/>
      <c r="K17" s="22"/>
      <c r="L17" s="6" t="s">
        <v>169</v>
      </c>
      <c r="M17" s="6" t="s">
        <v>170</v>
      </c>
      <c r="N17" s="6" t="s">
        <v>171</v>
      </c>
      <c r="O17" s="6" t="s">
        <v>172</v>
      </c>
      <c r="P17" s="22"/>
      <c r="Q17" s="22"/>
    </row>
    <row r="18" spans="1:17" ht="14.25" customHeight="1" x14ac:dyDescent="0.15">
      <c r="A18" s="6" t="s">
        <v>173</v>
      </c>
      <c r="B18" s="6" t="s">
        <v>55</v>
      </c>
      <c r="C18" s="6" t="s">
        <v>174</v>
      </c>
      <c r="D18" s="6" t="s">
        <v>175</v>
      </c>
      <c r="E18" s="6" t="s">
        <v>176</v>
      </c>
      <c r="F18" s="6" t="s">
        <v>177</v>
      </c>
      <c r="G18" s="6" t="s">
        <v>158</v>
      </c>
      <c r="H18" s="6" t="s">
        <v>178</v>
      </c>
      <c r="I18" s="22"/>
      <c r="J18" s="22"/>
      <c r="K18" s="22"/>
      <c r="L18" s="6" t="s">
        <v>179</v>
      </c>
      <c r="M18" s="6" t="s">
        <v>180</v>
      </c>
      <c r="N18" s="6" t="s">
        <v>181</v>
      </c>
      <c r="O18" s="6" t="s">
        <v>182</v>
      </c>
      <c r="P18" s="6" t="s">
        <v>183</v>
      </c>
      <c r="Q18" s="6" t="s">
        <v>184</v>
      </c>
    </row>
    <row r="19" spans="1:17" x14ac:dyDescent="0.15">
      <c r="A19" s="22"/>
      <c r="B19" s="6" t="s">
        <v>57</v>
      </c>
      <c r="C19" s="6" t="s">
        <v>185</v>
      </c>
      <c r="D19" s="6" t="s">
        <v>186</v>
      </c>
      <c r="E19" s="6" t="s">
        <v>187</v>
      </c>
      <c r="F19" s="6" t="s">
        <v>188</v>
      </c>
      <c r="G19" s="6" t="s">
        <v>189</v>
      </c>
      <c r="H19" s="6" t="s">
        <v>190</v>
      </c>
      <c r="I19" s="22"/>
      <c r="J19" s="22"/>
      <c r="K19" s="22"/>
      <c r="L19" s="6" t="s">
        <v>191</v>
      </c>
      <c r="M19" s="6" t="s">
        <v>192</v>
      </c>
      <c r="N19" s="6" t="s">
        <v>193</v>
      </c>
      <c r="O19" s="6" t="s">
        <v>194</v>
      </c>
      <c r="P19" s="22"/>
      <c r="Q19" s="22"/>
    </row>
    <row r="20" spans="1:17" x14ac:dyDescent="0.15">
      <c r="A20" s="22"/>
      <c r="B20" s="6" t="s">
        <v>58</v>
      </c>
      <c r="C20" s="6" t="s">
        <v>195</v>
      </c>
      <c r="D20" s="6" t="s">
        <v>196</v>
      </c>
      <c r="E20" s="6" t="s">
        <v>197</v>
      </c>
      <c r="F20" s="6" t="s">
        <v>198</v>
      </c>
      <c r="G20" s="6" t="s">
        <v>199</v>
      </c>
      <c r="H20" s="6" t="s">
        <v>200</v>
      </c>
      <c r="I20" s="22"/>
      <c r="J20" s="22"/>
      <c r="K20" s="22"/>
      <c r="L20" s="6" t="s">
        <v>201</v>
      </c>
      <c r="M20" s="6" t="s">
        <v>202</v>
      </c>
      <c r="N20" s="6" t="s">
        <v>203</v>
      </c>
      <c r="O20" s="6" t="s">
        <v>204</v>
      </c>
      <c r="P20" s="22"/>
      <c r="Q20" s="22"/>
    </row>
    <row r="21" spans="1:17" x14ac:dyDescent="0.15">
      <c r="A21" s="23" t="s">
        <v>364</v>
      </c>
      <c r="B21" s="6" t="s">
        <v>55</v>
      </c>
      <c r="C21" s="6" t="s">
        <v>205</v>
      </c>
      <c r="D21" s="6" t="s">
        <v>206</v>
      </c>
      <c r="E21" s="6" t="s">
        <v>207</v>
      </c>
      <c r="F21" s="6" t="s">
        <v>208</v>
      </c>
      <c r="G21" s="6" t="s">
        <v>131</v>
      </c>
      <c r="H21" s="6" t="s">
        <v>209</v>
      </c>
      <c r="I21" s="22"/>
      <c r="J21" s="22"/>
      <c r="K21" s="22"/>
      <c r="L21" s="6" t="s">
        <v>210</v>
      </c>
      <c r="M21" s="6" t="s">
        <v>211</v>
      </c>
      <c r="N21" s="6" t="s">
        <v>212</v>
      </c>
      <c r="O21" s="6" t="s">
        <v>213</v>
      </c>
      <c r="P21" s="6" t="s">
        <v>153</v>
      </c>
      <c r="Q21" s="6" t="s">
        <v>135</v>
      </c>
    </row>
    <row r="22" spans="1:17" x14ac:dyDescent="0.15">
      <c r="A22" s="22"/>
      <c r="B22" s="6" t="s">
        <v>57</v>
      </c>
      <c r="C22" s="6" t="s">
        <v>214</v>
      </c>
      <c r="D22" s="6" t="s">
        <v>215</v>
      </c>
      <c r="E22" s="6" t="s">
        <v>216</v>
      </c>
      <c r="F22" s="6" t="s">
        <v>217</v>
      </c>
      <c r="G22" s="6" t="s">
        <v>131</v>
      </c>
      <c r="H22" s="6" t="s">
        <v>218</v>
      </c>
      <c r="I22" s="22"/>
      <c r="J22" s="22"/>
      <c r="K22" s="22"/>
      <c r="L22" s="6" t="s">
        <v>219</v>
      </c>
      <c r="M22" s="6" t="s">
        <v>220</v>
      </c>
      <c r="N22" s="6" t="s">
        <v>221</v>
      </c>
      <c r="O22" s="6" t="s">
        <v>222</v>
      </c>
      <c r="P22" s="22"/>
      <c r="Q22" s="22"/>
    </row>
    <row r="23" spans="1:17" x14ac:dyDescent="0.15">
      <c r="A23" s="22"/>
      <c r="B23" s="6" t="s">
        <v>58</v>
      </c>
      <c r="C23" s="6" t="s">
        <v>223</v>
      </c>
      <c r="D23" s="6" t="s">
        <v>224</v>
      </c>
      <c r="E23" s="6" t="s">
        <v>225</v>
      </c>
      <c r="F23" s="6" t="s">
        <v>226</v>
      </c>
      <c r="G23" s="6" t="s">
        <v>227</v>
      </c>
      <c r="H23" s="6" t="s">
        <v>209</v>
      </c>
      <c r="I23" s="22"/>
      <c r="J23" s="22"/>
      <c r="K23" s="22"/>
      <c r="L23" s="6" t="s">
        <v>228</v>
      </c>
      <c r="M23" s="6" t="s">
        <v>229</v>
      </c>
      <c r="N23" s="6" t="s">
        <v>230</v>
      </c>
      <c r="O23" s="6" t="s">
        <v>118</v>
      </c>
      <c r="P23" s="22"/>
      <c r="Q23" s="22"/>
    </row>
    <row r="24" spans="1:17" x14ac:dyDescent="0.15">
      <c r="A24" s="23" t="s">
        <v>363</v>
      </c>
      <c r="B24" s="6" t="s">
        <v>55</v>
      </c>
      <c r="C24" s="6" t="s">
        <v>231</v>
      </c>
      <c r="D24" s="6" t="s">
        <v>232</v>
      </c>
      <c r="E24" s="6" t="s">
        <v>233</v>
      </c>
      <c r="F24" s="6" t="s">
        <v>234</v>
      </c>
      <c r="G24" s="6" t="s">
        <v>235</v>
      </c>
      <c r="H24" s="6" t="s">
        <v>128</v>
      </c>
      <c r="I24" s="22"/>
      <c r="J24" s="22"/>
      <c r="K24" s="22"/>
      <c r="L24" s="6" t="s">
        <v>236</v>
      </c>
      <c r="M24" s="6" t="s">
        <v>237</v>
      </c>
      <c r="N24" s="6" t="s">
        <v>238</v>
      </c>
      <c r="O24" s="6" t="s">
        <v>239</v>
      </c>
      <c r="P24" s="6" t="s">
        <v>240</v>
      </c>
      <c r="Q24" s="6" t="s">
        <v>241</v>
      </c>
    </row>
    <row r="25" spans="1:17" x14ac:dyDescent="0.15">
      <c r="A25" s="22"/>
      <c r="B25" s="6" t="s">
        <v>57</v>
      </c>
      <c r="C25" s="6" t="s">
        <v>242</v>
      </c>
      <c r="D25" s="6" t="s">
        <v>243</v>
      </c>
      <c r="E25" s="6" t="s">
        <v>244</v>
      </c>
      <c r="F25" s="6" t="s">
        <v>245</v>
      </c>
      <c r="G25" s="6" t="s">
        <v>246</v>
      </c>
      <c r="H25" s="6" t="s">
        <v>247</v>
      </c>
      <c r="I25" s="22"/>
      <c r="J25" s="22"/>
      <c r="K25" s="22"/>
      <c r="L25" s="6" t="s">
        <v>248</v>
      </c>
      <c r="M25" s="6" t="s">
        <v>249</v>
      </c>
      <c r="N25" s="6" t="s">
        <v>250</v>
      </c>
      <c r="O25" s="6" t="s">
        <v>251</v>
      </c>
      <c r="P25" s="22"/>
      <c r="Q25" s="22"/>
    </row>
    <row r="26" spans="1:17" x14ac:dyDescent="0.15">
      <c r="A26" s="22"/>
      <c r="B26" s="6" t="s">
        <v>58</v>
      </c>
      <c r="C26" s="6" t="s">
        <v>252</v>
      </c>
      <c r="D26" s="6" t="s">
        <v>253</v>
      </c>
      <c r="E26" s="6" t="s">
        <v>254</v>
      </c>
      <c r="F26" s="6" t="s">
        <v>255</v>
      </c>
      <c r="G26" s="6" t="s">
        <v>256</v>
      </c>
      <c r="H26" s="6" t="s">
        <v>247</v>
      </c>
      <c r="I26" s="22"/>
      <c r="J26" s="22"/>
      <c r="K26" s="22"/>
      <c r="L26" s="6" t="s">
        <v>228</v>
      </c>
      <c r="M26" s="6" t="s">
        <v>257</v>
      </c>
      <c r="N26" s="6" t="s">
        <v>258</v>
      </c>
      <c r="O26" s="6" t="s">
        <v>259</v>
      </c>
      <c r="P26" s="22"/>
      <c r="Q26" s="22"/>
    </row>
    <row r="27" spans="1:17" x14ac:dyDescent="0.15">
      <c r="A27" s="23" t="s">
        <v>365</v>
      </c>
      <c r="B27" s="6" t="s">
        <v>55</v>
      </c>
      <c r="C27" s="6" t="s">
        <v>260</v>
      </c>
      <c r="D27" s="6" t="s">
        <v>261</v>
      </c>
      <c r="E27" s="6" t="s">
        <v>262</v>
      </c>
      <c r="F27" s="6" t="s">
        <v>263</v>
      </c>
      <c r="G27" s="6" t="s">
        <v>133</v>
      </c>
      <c r="H27" s="6" t="s">
        <v>209</v>
      </c>
      <c r="I27" s="22"/>
      <c r="J27" s="22"/>
      <c r="K27" s="22"/>
      <c r="L27" s="6" t="s">
        <v>264</v>
      </c>
      <c r="M27" s="6" t="s">
        <v>265</v>
      </c>
      <c r="N27" s="6" t="s">
        <v>266</v>
      </c>
      <c r="O27" s="6" t="s">
        <v>267</v>
      </c>
      <c r="P27" s="6" t="s">
        <v>123</v>
      </c>
      <c r="Q27" s="6" t="s">
        <v>268</v>
      </c>
    </row>
    <row r="28" spans="1:17" x14ac:dyDescent="0.15">
      <c r="A28" s="22"/>
      <c r="B28" s="6" t="s">
        <v>57</v>
      </c>
      <c r="C28" s="6" t="s">
        <v>269</v>
      </c>
      <c r="D28" s="6" t="s">
        <v>270</v>
      </c>
      <c r="E28" s="6" t="s">
        <v>271</v>
      </c>
      <c r="F28" s="6" t="s">
        <v>272</v>
      </c>
      <c r="G28" s="6" t="s">
        <v>273</v>
      </c>
      <c r="H28" s="6" t="s">
        <v>209</v>
      </c>
      <c r="I28" s="22"/>
      <c r="J28" s="22"/>
      <c r="K28" s="22"/>
      <c r="L28" s="6" t="s">
        <v>274</v>
      </c>
      <c r="M28" s="6" t="s">
        <v>275</v>
      </c>
      <c r="N28" s="6" t="s">
        <v>276</v>
      </c>
      <c r="O28" s="6" t="s">
        <v>277</v>
      </c>
      <c r="P28" s="22"/>
      <c r="Q28" s="22"/>
    </row>
    <row r="29" spans="1:17" x14ac:dyDescent="0.15">
      <c r="A29" s="22"/>
      <c r="B29" s="6" t="s">
        <v>58</v>
      </c>
      <c r="C29" s="6" t="s">
        <v>278</v>
      </c>
      <c r="D29" s="6" t="s">
        <v>279</v>
      </c>
      <c r="E29" s="6" t="s">
        <v>280</v>
      </c>
      <c r="F29" s="6" t="s">
        <v>281</v>
      </c>
      <c r="G29" s="6" t="s">
        <v>282</v>
      </c>
      <c r="H29" s="6" t="s">
        <v>283</v>
      </c>
      <c r="I29" s="22"/>
      <c r="J29" s="22"/>
      <c r="K29" s="22"/>
      <c r="L29" s="6" t="s">
        <v>284</v>
      </c>
      <c r="M29" s="6" t="s">
        <v>285</v>
      </c>
      <c r="N29" s="6" t="s">
        <v>286</v>
      </c>
      <c r="O29" s="6" t="s">
        <v>56</v>
      </c>
      <c r="P29" s="22"/>
      <c r="Q29" s="22"/>
    </row>
    <row r="30" spans="1:17" x14ac:dyDescent="0.15">
      <c r="A30" s="6" t="s">
        <v>287</v>
      </c>
      <c r="B30" s="6" t="s">
        <v>55</v>
      </c>
      <c r="C30" s="6" t="s">
        <v>288</v>
      </c>
      <c r="D30" s="6" t="s">
        <v>289</v>
      </c>
      <c r="E30" s="6" t="s">
        <v>290</v>
      </c>
      <c r="F30" s="6" t="s">
        <v>291</v>
      </c>
      <c r="G30" s="6" t="s">
        <v>292</v>
      </c>
      <c r="H30" s="6" t="s">
        <v>293</v>
      </c>
      <c r="I30" s="22"/>
      <c r="J30" s="22"/>
      <c r="K30" s="22"/>
      <c r="L30" s="6" t="s">
        <v>294</v>
      </c>
      <c r="M30" s="6" t="s">
        <v>295</v>
      </c>
      <c r="N30" s="6" t="s">
        <v>296</v>
      </c>
      <c r="O30" s="6" t="s">
        <v>122</v>
      </c>
      <c r="P30" s="6" t="s">
        <v>117</v>
      </c>
      <c r="Q30" s="6" t="s">
        <v>125</v>
      </c>
    </row>
    <row r="31" spans="1:17" x14ac:dyDescent="0.15">
      <c r="A31" s="22"/>
      <c r="B31" s="6" t="s">
        <v>57</v>
      </c>
      <c r="C31" s="6" t="s">
        <v>297</v>
      </c>
      <c r="D31" s="6" t="s">
        <v>298</v>
      </c>
      <c r="E31" s="6" t="s">
        <v>299</v>
      </c>
      <c r="F31" s="6" t="s">
        <v>300</v>
      </c>
      <c r="G31" s="6" t="s">
        <v>301</v>
      </c>
      <c r="H31" s="6" t="s">
        <v>190</v>
      </c>
      <c r="I31" s="22"/>
      <c r="J31" s="22"/>
      <c r="K31" s="22"/>
      <c r="L31" s="6" t="s">
        <v>302</v>
      </c>
      <c r="M31" s="6" t="s">
        <v>303</v>
      </c>
      <c r="N31" s="6" t="s">
        <v>304</v>
      </c>
      <c r="O31" s="6" t="s">
        <v>132</v>
      </c>
      <c r="P31" s="22"/>
      <c r="Q31" s="22"/>
    </row>
    <row r="32" spans="1:17" x14ac:dyDescent="0.15">
      <c r="A32" s="22"/>
      <c r="B32" s="6" t="s">
        <v>58</v>
      </c>
      <c r="C32" s="6" t="s">
        <v>305</v>
      </c>
      <c r="D32" s="6" t="s">
        <v>306</v>
      </c>
      <c r="E32" s="6" t="s">
        <v>307</v>
      </c>
      <c r="F32" s="6" t="s">
        <v>308</v>
      </c>
      <c r="G32" s="6" t="s">
        <v>301</v>
      </c>
      <c r="H32" s="6" t="s">
        <v>293</v>
      </c>
      <c r="I32" s="22"/>
      <c r="J32" s="22"/>
      <c r="K32" s="22"/>
      <c r="L32" s="6" t="s">
        <v>274</v>
      </c>
      <c r="M32" s="6" t="s">
        <v>309</v>
      </c>
      <c r="N32" s="6" t="s">
        <v>310</v>
      </c>
      <c r="O32" s="6" t="s">
        <v>134</v>
      </c>
      <c r="P32" s="22"/>
      <c r="Q32" s="22"/>
    </row>
    <row r="33" spans="1:17" x14ac:dyDescent="0.15">
      <c r="A33" s="23" t="s">
        <v>366</v>
      </c>
      <c r="B33" s="6" t="s">
        <v>55</v>
      </c>
      <c r="C33" s="6" t="s">
        <v>311</v>
      </c>
      <c r="D33" s="6" t="s">
        <v>312</v>
      </c>
      <c r="E33" s="6" t="s">
        <v>313</v>
      </c>
      <c r="F33" s="6" t="s">
        <v>314</v>
      </c>
      <c r="G33" s="6" t="s">
        <v>315</v>
      </c>
      <c r="H33" s="6" t="s">
        <v>178</v>
      </c>
      <c r="I33" s="22"/>
      <c r="J33" s="22"/>
      <c r="K33" s="22"/>
      <c r="L33" s="6" t="s">
        <v>316</v>
      </c>
      <c r="M33" s="6" t="s">
        <v>317</v>
      </c>
      <c r="N33" s="6" t="s">
        <v>318</v>
      </c>
      <c r="O33" s="6" t="s">
        <v>319</v>
      </c>
      <c r="P33" s="6" t="s">
        <v>320</v>
      </c>
      <c r="Q33" s="6" t="s">
        <v>321</v>
      </c>
    </row>
    <row r="34" spans="1:17" x14ac:dyDescent="0.15">
      <c r="A34" s="22"/>
      <c r="B34" s="6" t="s">
        <v>57</v>
      </c>
      <c r="C34" s="6" t="s">
        <v>322</v>
      </c>
      <c r="D34" s="6" t="s">
        <v>323</v>
      </c>
      <c r="E34" s="6" t="s">
        <v>324</v>
      </c>
      <c r="F34" s="6" t="s">
        <v>325</v>
      </c>
      <c r="G34" s="6" t="s">
        <v>326</v>
      </c>
      <c r="H34" s="6" t="s">
        <v>190</v>
      </c>
      <c r="I34" s="22"/>
      <c r="J34" s="22"/>
      <c r="K34" s="22"/>
      <c r="L34" s="6" t="s">
        <v>327</v>
      </c>
      <c r="M34" s="6" t="s">
        <v>328</v>
      </c>
      <c r="N34" s="6" t="s">
        <v>329</v>
      </c>
      <c r="O34" s="6" t="s">
        <v>130</v>
      </c>
      <c r="P34" s="22"/>
      <c r="Q34" s="22"/>
    </row>
    <row r="35" spans="1:17" x14ac:dyDescent="0.15">
      <c r="A35" s="22"/>
      <c r="B35" s="6" t="s">
        <v>58</v>
      </c>
      <c r="C35" s="6" t="s">
        <v>330</v>
      </c>
      <c r="D35" s="6" t="s">
        <v>331</v>
      </c>
      <c r="E35" s="6" t="s">
        <v>332</v>
      </c>
      <c r="F35" s="6" t="s">
        <v>333</v>
      </c>
      <c r="G35" s="6" t="s">
        <v>334</v>
      </c>
      <c r="H35" s="6" t="s">
        <v>200</v>
      </c>
      <c r="I35" s="22"/>
      <c r="J35" s="22"/>
      <c r="K35" s="22"/>
      <c r="L35" s="6" t="s">
        <v>335</v>
      </c>
      <c r="M35" s="6" t="s">
        <v>336</v>
      </c>
      <c r="N35" s="6" t="s">
        <v>333</v>
      </c>
      <c r="O35" s="6" t="s">
        <v>337</v>
      </c>
      <c r="P35" s="22"/>
      <c r="Q35" s="22"/>
    </row>
    <row r="36" spans="1:17" x14ac:dyDescent="0.15">
      <c r="A36" s="6" t="s">
        <v>338</v>
      </c>
      <c r="B36" s="6" t="s">
        <v>55</v>
      </c>
      <c r="C36" s="6" t="s">
        <v>339</v>
      </c>
      <c r="D36" s="6" t="s">
        <v>340</v>
      </c>
      <c r="E36" s="6" t="s">
        <v>341</v>
      </c>
      <c r="F36" s="6" t="s">
        <v>342</v>
      </c>
      <c r="G36" s="6" t="s">
        <v>343</v>
      </c>
      <c r="H36" s="6" t="s">
        <v>344</v>
      </c>
      <c r="I36" s="22"/>
      <c r="J36" s="22"/>
      <c r="K36" s="22"/>
      <c r="L36" s="6" t="s">
        <v>316</v>
      </c>
      <c r="M36" s="6" t="s">
        <v>345</v>
      </c>
      <c r="N36" s="6" t="s">
        <v>346</v>
      </c>
      <c r="O36" s="6" t="s">
        <v>347</v>
      </c>
      <c r="P36" s="6" t="s">
        <v>125</v>
      </c>
      <c r="Q36" s="6" t="s">
        <v>153</v>
      </c>
    </row>
    <row r="37" spans="1:17" x14ac:dyDescent="0.15">
      <c r="A37" s="22"/>
      <c r="B37" s="6" t="s">
        <v>57</v>
      </c>
      <c r="C37" s="6" t="s">
        <v>348</v>
      </c>
      <c r="D37" s="6" t="s">
        <v>349</v>
      </c>
      <c r="E37" s="6" t="s">
        <v>350</v>
      </c>
      <c r="F37" s="6" t="s">
        <v>351</v>
      </c>
      <c r="G37" s="6" t="s">
        <v>343</v>
      </c>
      <c r="H37" s="6" t="s">
        <v>352</v>
      </c>
      <c r="I37" s="22"/>
      <c r="J37" s="22"/>
      <c r="K37" s="22"/>
      <c r="L37" s="6" t="s">
        <v>335</v>
      </c>
      <c r="M37" s="6" t="s">
        <v>353</v>
      </c>
      <c r="N37" s="6" t="s">
        <v>354</v>
      </c>
      <c r="O37" s="6" t="s">
        <v>125</v>
      </c>
      <c r="P37" s="22"/>
      <c r="Q37" s="22"/>
    </row>
    <row r="38" spans="1:17" x14ac:dyDescent="0.15">
      <c r="A38" s="22"/>
      <c r="B38" s="6" t="s">
        <v>58</v>
      </c>
      <c r="C38" s="6" t="s">
        <v>355</v>
      </c>
      <c r="D38" s="6" t="s">
        <v>356</v>
      </c>
      <c r="E38" s="6" t="s">
        <v>357</v>
      </c>
      <c r="F38" s="6" t="s">
        <v>358</v>
      </c>
      <c r="G38" s="6" t="s">
        <v>343</v>
      </c>
      <c r="H38" s="6" t="s">
        <v>129</v>
      </c>
      <c r="I38" s="22"/>
      <c r="J38" s="22"/>
      <c r="K38" s="22"/>
      <c r="L38" s="6" t="s">
        <v>359</v>
      </c>
      <c r="M38" s="6" t="s">
        <v>360</v>
      </c>
      <c r="N38" s="6" t="s">
        <v>361</v>
      </c>
      <c r="O38" s="6" t="s">
        <v>123</v>
      </c>
      <c r="P38" s="22"/>
      <c r="Q38" s="22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sqref="A1:Q17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119</v>
      </c>
      <c r="I2" s="22"/>
      <c r="J2" s="22"/>
      <c r="K2" s="22"/>
      <c r="L2" s="22"/>
      <c r="M2" s="22"/>
      <c r="N2" s="22"/>
      <c r="O2" s="6" t="s">
        <v>3</v>
      </c>
      <c r="P2" s="6" t="s">
        <v>105</v>
      </c>
      <c r="Q2" s="22"/>
    </row>
    <row r="3" spans="1:17" ht="14.25" customHeight="1" x14ac:dyDescent="0.15">
      <c r="A3" s="6" t="s">
        <v>4</v>
      </c>
      <c r="B3" s="6" t="s">
        <v>106</v>
      </c>
      <c r="C3" s="22"/>
      <c r="D3" s="22"/>
      <c r="E3" s="22"/>
      <c r="F3" s="22"/>
      <c r="G3" s="6" t="s">
        <v>5</v>
      </c>
      <c r="H3" s="6" t="s">
        <v>136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107</v>
      </c>
      <c r="C4" s="22"/>
      <c r="D4" s="22"/>
      <c r="E4" s="22"/>
      <c r="F4" s="22"/>
      <c r="G4" s="6" t="s">
        <v>9</v>
      </c>
      <c r="H4" s="6" t="s">
        <v>368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108</v>
      </c>
      <c r="C5" s="22"/>
      <c r="D5" s="22"/>
      <c r="E5" s="22"/>
      <c r="F5" s="22"/>
      <c r="G5" s="6" t="s">
        <v>13</v>
      </c>
      <c r="H5" s="6" t="s">
        <v>369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109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370</v>
      </c>
      <c r="C8" s="22"/>
      <c r="D8" s="6" t="s">
        <v>26</v>
      </c>
      <c r="E8" s="6" t="s">
        <v>371</v>
      </c>
      <c r="F8" s="22"/>
      <c r="G8" s="6" t="s">
        <v>27</v>
      </c>
      <c r="H8" s="6" t="s">
        <v>106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/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372</v>
      </c>
      <c r="B15" s="6" t="s">
        <v>55</v>
      </c>
      <c r="C15" s="6" t="s">
        <v>373</v>
      </c>
      <c r="D15" s="6" t="s">
        <v>374</v>
      </c>
      <c r="E15" s="6" t="s">
        <v>375</v>
      </c>
      <c r="F15" s="6" t="s">
        <v>376</v>
      </c>
      <c r="G15" s="6" t="s">
        <v>377</v>
      </c>
      <c r="H15" s="6" t="s">
        <v>378</v>
      </c>
      <c r="I15" s="22"/>
      <c r="J15" s="22"/>
      <c r="K15" s="22"/>
      <c r="L15" s="6" t="s">
        <v>379</v>
      </c>
      <c r="M15" s="6" t="s">
        <v>380</v>
      </c>
      <c r="N15" s="6" t="s">
        <v>381</v>
      </c>
      <c r="O15" s="6" t="s">
        <v>382</v>
      </c>
      <c r="P15" s="6" t="s">
        <v>383</v>
      </c>
      <c r="Q15" s="6" t="s">
        <v>268</v>
      </c>
    </row>
    <row r="16" spans="1:17" ht="14.25" customHeight="1" x14ac:dyDescent="0.15">
      <c r="A16" s="22"/>
      <c r="B16" s="6" t="s">
        <v>57</v>
      </c>
      <c r="C16" s="6" t="s">
        <v>384</v>
      </c>
      <c r="D16" s="6" t="s">
        <v>385</v>
      </c>
      <c r="E16" s="6" t="s">
        <v>386</v>
      </c>
      <c r="F16" s="6" t="s">
        <v>387</v>
      </c>
      <c r="G16" s="6" t="s">
        <v>388</v>
      </c>
      <c r="H16" s="6" t="s">
        <v>389</v>
      </c>
      <c r="I16" s="22"/>
      <c r="J16" s="22"/>
      <c r="K16" s="22"/>
      <c r="L16" s="6" t="s">
        <v>390</v>
      </c>
      <c r="M16" s="6" t="s">
        <v>391</v>
      </c>
      <c r="N16" s="6" t="s">
        <v>392</v>
      </c>
      <c r="O16" s="6" t="s">
        <v>393</v>
      </c>
      <c r="P16" s="22"/>
      <c r="Q16" s="22"/>
    </row>
    <row r="17" spans="1:17" ht="14.25" customHeight="1" x14ac:dyDescent="0.15">
      <c r="A17" s="22"/>
      <c r="B17" s="6" t="s">
        <v>58</v>
      </c>
      <c r="C17" s="6" t="s">
        <v>394</v>
      </c>
      <c r="D17" s="6" t="s">
        <v>395</v>
      </c>
      <c r="E17" s="6" t="s">
        <v>396</v>
      </c>
      <c r="F17" s="6" t="s">
        <v>397</v>
      </c>
      <c r="G17" s="6" t="s">
        <v>377</v>
      </c>
      <c r="H17" s="6" t="s">
        <v>389</v>
      </c>
      <c r="I17" s="22"/>
      <c r="J17" s="22"/>
      <c r="K17" s="22"/>
      <c r="L17" s="6" t="s">
        <v>398</v>
      </c>
      <c r="M17" s="6" t="s">
        <v>399</v>
      </c>
      <c r="N17" s="6" t="s">
        <v>400</v>
      </c>
      <c r="O17" s="6" t="s">
        <v>401</v>
      </c>
      <c r="P17" s="22"/>
      <c r="Q17" s="22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79" zoomScale="110" zoomScaleNormal="110" workbookViewId="0">
      <selection activeCell="J89" sqref="J89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81" t="s">
        <v>103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70" t="s">
        <v>59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61</v>
      </c>
      <c r="C4" s="51" t="str">
        <f>初始!B3</f>
        <v>涡街流量计</v>
      </c>
      <c r="D4" s="51"/>
      <c r="E4" s="51"/>
      <c r="F4" s="51"/>
      <c r="G4" s="51"/>
      <c r="H4" s="51"/>
      <c r="I4" s="49" t="s">
        <v>64</v>
      </c>
      <c r="J4" s="65"/>
      <c r="K4" s="51" t="s">
        <v>402</v>
      </c>
      <c r="L4" s="51"/>
      <c r="M4" s="5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62</v>
      </c>
      <c r="C5" s="85" t="str">
        <f>初始!H2</f>
        <v>LUGB 080YDMEJCX2BB-251N15NN4</v>
      </c>
      <c r="D5" s="85"/>
      <c r="E5" s="85"/>
      <c r="F5" s="85"/>
      <c r="G5" s="85"/>
      <c r="H5" s="85"/>
      <c r="I5" s="49" t="s">
        <v>65</v>
      </c>
      <c r="J5" s="65"/>
      <c r="K5" s="54" t="str">
        <f>初始!B4</f>
        <v>上海自仪海莱特流量仪表有限公司</v>
      </c>
      <c r="L5" s="54"/>
      <c r="M5" s="5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63</v>
      </c>
      <c r="C6" s="54" t="str">
        <f>初始!H3</f>
        <v>2026010016</v>
      </c>
      <c r="D6" s="54"/>
      <c r="E6" s="54"/>
      <c r="F6" s="54"/>
      <c r="G6" s="54"/>
      <c r="H6" s="54"/>
      <c r="I6" s="49" t="s">
        <v>66</v>
      </c>
      <c r="J6" s="50"/>
      <c r="K6" s="14" t="str">
        <f>初始!B6</f>
        <v>(20-21)℃</v>
      </c>
      <c r="L6" s="16" t="s">
        <v>67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68</v>
      </c>
      <c r="C7" s="51" t="s">
        <v>112</v>
      </c>
      <c r="D7" s="51"/>
      <c r="E7" s="51"/>
      <c r="F7" s="51"/>
      <c r="G7" s="49" t="s">
        <v>60</v>
      </c>
      <c r="H7" s="65"/>
      <c r="I7" s="51" t="str">
        <f>SUBSTITUTE(初始!H4,"m^3","m³")</f>
        <v xml:space="preserve"> ( 90～900 )m³/h</v>
      </c>
      <c r="J7" s="51"/>
      <c r="K7" s="52"/>
      <c r="L7" s="52"/>
      <c r="M7" s="5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69</v>
      </c>
      <c r="C8" s="51" t="s">
        <v>72</v>
      </c>
      <c r="D8" s="51"/>
      <c r="E8" s="51"/>
      <c r="F8" s="51"/>
      <c r="G8" s="51"/>
      <c r="H8" s="51"/>
      <c r="I8" s="51"/>
      <c r="J8" s="16" t="s">
        <v>73</v>
      </c>
      <c r="K8" s="51" t="s">
        <v>367</v>
      </c>
      <c r="L8" s="51"/>
      <c r="M8" s="5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70</v>
      </c>
      <c r="C9" s="80">
        <v>1</v>
      </c>
      <c r="D9" s="80"/>
      <c r="E9" s="80"/>
      <c r="F9" s="5" t="s">
        <v>71</v>
      </c>
      <c r="G9" s="53"/>
      <c r="H9" s="53"/>
      <c r="I9" s="53"/>
      <c r="J9" s="53"/>
      <c r="K9" s="53"/>
      <c r="L9" s="53"/>
      <c r="M9" s="5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79</v>
      </c>
      <c r="C10" s="79" t="s">
        <v>111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1" t="s">
        <v>110</v>
      </c>
      <c r="C11" s="79" t="s">
        <v>74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76</v>
      </c>
      <c r="C12" s="79" t="s">
        <v>74</v>
      </c>
      <c r="D12" s="73"/>
      <c r="E12" s="73"/>
      <c r="F12" s="21" t="s">
        <v>80</v>
      </c>
      <c r="G12" s="4"/>
      <c r="H12" s="4"/>
      <c r="I12" s="9">
        <v>2.5</v>
      </c>
      <c r="J12" s="4" t="s">
        <v>78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77</v>
      </c>
      <c r="C13" s="63" t="str">
        <f>初始!H5</f>
        <v>2.1823 1/L</v>
      </c>
      <c r="D13" s="63"/>
      <c r="E13" s="63"/>
      <c r="F13" s="63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85</v>
      </c>
      <c r="C14" s="51" t="s">
        <v>82</v>
      </c>
      <c r="D14" s="51"/>
      <c r="E14" s="12" t="str">
        <f>初始!A15</f>
        <v>900</v>
      </c>
      <c r="F14" s="4" t="s">
        <v>75</v>
      </c>
      <c r="G14" s="51" t="s">
        <v>83</v>
      </c>
      <c r="H14" s="51"/>
      <c r="I14" s="12" t="str">
        <f>初始!A33</f>
        <v>90</v>
      </c>
      <c r="J14" s="4" t="s">
        <v>75</v>
      </c>
      <c r="K14" s="13" t="s">
        <v>84</v>
      </c>
      <c r="L14" s="12" t="str">
        <f>初始!A27</f>
        <v>180</v>
      </c>
      <c r="M14" s="4" t="s">
        <v>75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76" t="s">
        <v>90</v>
      </c>
      <c r="C15" s="31" t="s">
        <v>89</v>
      </c>
      <c r="D15" s="38"/>
      <c r="E15" s="55" t="s">
        <v>92</v>
      </c>
      <c r="F15" s="56"/>
      <c r="G15" s="55" t="s">
        <v>93</v>
      </c>
      <c r="H15" s="56"/>
      <c r="I15" s="43" t="s">
        <v>94</v>
      </c>
      <c r="J15" s="76" t="s">
        <v>99</v>
      </c>
      <c r="K15" s="43" t="s">
        <v>95</v>
      </c>
      <c r="L15" s="31" t="s">
        <v>113</v>
      </c>
      <c r="M15" s="3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77"/>
      <c r="C16" s="39"/>
      <c r="D16" s="40"/>
      <c r="E16" s="57"/>
      <c r="F16" s="58"/>
      <c r="G16" s="57"/>
      <c r="H16" s="58"/>
      <c r="I16" s="75"/>
      <c r="J16" s="77"/>
      <c r="K16" s="75"/>
      <c r="L16" s="33"/>
      <c r="M16" s="3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77"/>
      <c r="C17" s="39"/>
      <c r="D17" s="40"/>
      <c r="E17" s="59"/>
      <c r="F17" s="60"/>
      <c r="G17" s="59"/>
      <c r="H17" s="60"/>
      <c r="I17" s="75"/>
      <c r="J17" s="78"/>
      <c r="K17" s="75"/>
      <c r="L17" s="33"/>
      <c r="M17" s="3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78"/>
      <c r="C18" s="41"/>
      <c r="D18" s="42"/>
      <c r="E18" s="43" t="s">
        <v>91</v>
      </c>
      <c r="F18" s="43"/>
      <c r="G18" s="43" t="s">
        <v>91</v>
      </c>
      <c r="H18" s="43"/>
      <c r="I18" s="10" t="s">
        <v>96</v>
      </c>
      <c r="J18" s="10" t="s">
        <v>100</v>
      </c>
      <c r="K18" s="10" t="s">
        <v>96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44" t="s">
        <v>97</v>
      </c>
      <c r="C19" s="43">
        <v>1</v>
      </c>
      <c r="D19" s="43"/>
      <c r="E19" s="48" t="str">
        <f>初始!N15</f>
        <v>11077.8</v>
      </c>
      <c r="F19" s="48"/>
      <c r="G19" s="47" t="str">
        <f>初始!F15</f>
        <v>11017.2</v>
      </c>
      <c r="H19" s="47"/>
      <c r="I19" s="15">
        <f>(E19-G19)/G19*100</f>
        <v>0.55004901426858499</v>
      </c>
      <c r="J19" s="27">
        <f>AVERAGE(I19:I24)</f>
        <v>0.72753766133137665</v>
      </c>
      <c r="K19" s="27">
        <f>STDEV(I19:I24)</f>
        <v>0.16987334336361762</v>
      </c>
      <c r="L19" s="37" t="s">
        <v>114</v>
      </c>
      <c r="M19" s="3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45"/>
      <c r="C20" s="43">
        <v>2</v>
      </c>
      <c r="D20" s="43"/>
      <c r="E20" s="48" t="str">
        <f>初始!N16</f>
        <v>11069.5</v>
      </c>
      <c r="F20" s="48"/>
      <c r="G20" s="47" t="str">
        <f>初始!F16</f>
        <v>10969.2</v>
      </c>
      <c r="H20" s="47"/>
      <c r="I20" s="20">
        <f t="shared" ref="I20:I39" si="0">(E20-G20)/G20*100</f>
        <v>0.91437844145424696</v>
      </c>
      <c r="J20" s="28"/>
      <c r="K20" s="28"/>
      <c r="L20" s="39"/>
      <c r="M20" s="4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45"/>
      <c r="C21" s="43">
        <v>3</v>
      </c>
      <c r="D21" s="43"/>
      <c r="E21" s="48" t="str">
        <f>初始!N17</f>
        <v>11014.1</v>
      </c>
      <c r="F21" s="48"/>
      <c r="G21" s="47" t="str">
        <f>初始!F17</f>
        <v>10919.4</v>
      </c>
      <c r="H21" s="47"/>
      <c r="I21" s="20">
        <f t="shared" si="0"/>
        <v>0.86726376907156744</v>
      </c>
      <c r="J21" s="28"/>
      <c r="K21" s="28"/>
      <c r="L21" s="39"/>
      <c r="M21" s="4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45"/>
      <c r="C22" s="43">
        <v>4</v>
      </c>
      <c r="D22" s="43"/>
      <c r="E22" s="48" t="str">
        <f>初始!N18</f>
        <v>11098.4</v>
      </c>
      <c r="F22" s="48"/>
      <c r="G22" s="47" t="str">
        <f>初始!F18</f>
        <v>11003.8</v>
      </c>
      <c r="H22" s="47"/>
      <c r="I22" s="20">
        <f t="shared" si="0"/>
        <v>0.85970301168687513</v>
      </c>
      <c r="J22" s="28"/>
      <c r="K22" s="28"/>
      <c r="L22" s="39"/>
      <c r="M22" s="4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45"/>
      <c r="C23" s="43">
        <v>5</v>
      </c>
      <c r="D23" s="43"/>
      <c r="E23" s="48" t="str">
        <f>初始!N19</f>
        <v>10985.2</v>
      </c>
      <c r="F23" s="48"/>
      <c r="G23" s="47" t="str">
        <f>初始!F19</f>
        <v>10918.3</v>
      </c>
      <c r="H23" s="47"/>
      <c r="I23" s="20">
        <f t="shared" si="0"/>
        <v>0.6127327514356764</v>
      </c>
      <c r="J23" s="28"/>
      <c r="K23" s="28"/>
      <c r="L23" s="39"/>
      <c r="M23" s="4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46"/>
      <c r="C24" s="43">
        <v>6</v>
      </c>
      <c r="D24" s="43"/>
      <c r="E24" s="48" t="str">
        <f>初始!N20</f>
        <v>10914.6</v>
      </c>
      <c r="F24" s="48"/>
      <c r="G24" s="47" t="str">
        <f>初始!F20</f>
        <v>10853.7</v>
      </c>
      <c r="H24" s="47"/>
      <c r="I24" s="20">
        <f t="shared" si="0"/>
        <v>0.56109898007130876</v>
      </c>
      <c r="J24" s="29"/>
      <c r="K24" s="29"/>
      <c r="L24" s="39"/>
      <c r="M24" s="4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44" t="s">
        <v>98</v>
      </c>
      <c r="C25" s="43">
        <v>1</v>
      </c>
      <c r="D25" s="43"/>
      <c r="E25" s="48" t="str">
        <f>初始!N21</f>
        <v>4366.95</v>
      </c>
      <c r="F25" s="48"/>
      <c r="G25" s="47" t="str">
        <f>初始!F21</f>
        <v>4345.96</v>
      </c>
      <c r="H25" s="47"/>
      <c r="I25" s="20">
        <f t="shared" si="0"/>
        <v>0.48297729385451732</v>
      </c>
      <c r="J25" s="27">
        <f>AVERAGE(I25:I30)</f>
        <v>0.16763350644106947</v>
      </c>
      <c r="K25" s="27">
        <f>STDEV(I25:I30)</f>
        <v>0.25309785081383224</v>
      </c>
      <c r="L25" s="39"/>
      <c r="M25" s="4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45"/>
      <c r="C26" s="43">
        <v>2</v>
      </c>
      <c r="D26" s="43"/>
      <c r="E26" s="48" t="str">
        <f>初始!N22</f>
        <v>4328.92</v>
      </c>
      <c r="F26" s="48"/>
      <c r="G26" s="47" t="str">
        <f>初始!F22</f>
        <v>4334.69</v>
      </c>
      <c r="H26" s="47"/>
      <c r="I26" s="20">
        <f t="shared" si="0"/>
        <v>-0.13311217180466256</v>
      </c>
      <c r="J26" s="28"/>
      <c r="K26" s="28"/>
      <c r="L26" s="39"/>
      <c r="M26" s="4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45"/>
      <c r="C27" s="43">
        <v>3</v>
      </c>
      <c r="D27" s="43"/>
      <c r="E27" s="48" t="str">
        <f>初始!N23</f>
        <v>4323.42</v>
      </c>
      <c r="F27" s="48"/>
      <c r="G27" s="47" t="str">
        <f>初始!F23</f>
        <v>4312.40</v>
      </c>
      <c r="H27" s="47"/>
      <c r="I27" s="20">
        <f t="shared" si="0"/>
        <v>0.25554215749931447</v>
      </c>
      <c r="J27" s="28"/>
      <c r="K27" s="28"/>
      <c r="L27" s="39"/>
      <c r="M27" s="4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45"/>
      <c r="C28" s="43">
        <v>4</v>
      </c>
      <c r="D28" s="43"/>
      <c r="E28" s="48" t="str">
        <f>初始!N24</f>
        <v>4330.75</v>
      </c>
      <c r="F28" s="48"/>
      <c r="G28" s="47" t="str">
        <f>初始!F24</f>
        <v>4317.15</v>
      </c>
      <c r="H28" s="47"/>
      <c r="I28" s="20">
        <f t="shared" si="0"/>
        <v>0.31502264225242033</v>
      </c>
      <c r="J28" s="28"/>
      <c r="K28" s="28"/>
      <c r="L28" s="39"/>
      <c r="M28" s="4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45"/>
      <c r="C29" s="43">
        <v>5</v>
      </c>
      <c r="D29" s="43"/>
      <c r="E29" s="48" t="str">
        <f>初始!N25</f>
        <v>4333.04</v>
      </c>
      <c r="F29" s="48"/>
      <c r="G29" s="47" t="str">
        <f>初始!F25</f>
        <v>4339.29</v>
      </c>
      <c r="H29" s="47"/>
      <c r="I29" s="20">
        <f t="shared" si="0"/>
        <v>-0.1440327795561025</v>
      </c>
      <c r="J29" s="28"/>
      <c r="K29" s="28"/>
      <c r="L29" s="39"/>
      <c r="M29" s="4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46"/>
      <c r="C30" s="43">
        <v>6</v>
      </c>
      <c r="D30" s="43"/>
      <c r="E30" s="48" t="str">
        <f>初始!N26</f>
        <v>4338.54</v>
      </c>
      <c r="F30" s="48"/>
      <c r="G30" s="47" t="str">
        <f>初始!F26</f>
        <v>4328.61</v>
      </c>
      <c r="H30" s="47"/>
      <c r="I30" s="20">
        <f t="shared" si="0"/>
        <v>0.2294038964009299</v>
      </c>
      <c r="J30" s="29"/>
      <c r="K30" s="29"/>
      <c r="L30" s="39"/>
      <c r="M30" s="4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2" customFormat="1" ht="18" customHeight="1" x14ac:dyDescent="0.15">
      <c r="A31" s="19"/>
      <c r="B31" s="43" t="s">
        <v>84</v>
      </c>
      <c r="C31" s="43">
        <v>1</v>
      </c>
      <c r="D31" s="43"/>
      <c r="E31" s="48" t="str">
        <f>初始!N27</f>
        <v>2262.29</v>
      </c>
      <c r="F31" s="48"/>
      <c r="G31" s="47" t="str">
        <f>初始!F27</f>
        <v>2266.14</v>
      </c>
      <c r="H31" s="47"/>
      <c r="I31" s="20">
        <f t="shared" si="0"/>
        <v>-0.16989241617904938</v>
      </c>
      <c r="J31" s="30">
        <f>AVERAGE(I31:I36)</f>
        <v>-2.4882080299468378E-2</v>
      </c>
      <c r="K31" s="30">
        <f>STDEV(I31:I36)</f>
        <v>0.13362821999301941</v>
      </c>
      <c r="L31" s="39"/>
      <c r="M31" s="40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22" customFormat="1" ht="18" customHeight="1" x14ac:dyDescent="0.15">
      <c r="A32" s="19"/>
      <c r="B32" s="43"/>
      <c r="C32" s="43">
        <v>2</v>
      </c>
      <c r="D32" s="43"/>
      <c r="E32" s="48" t="str">
        <f>初始!N28</f>
        <v>2240.76</v>
      </c>
      <c r="F32" s="48"/>
      <c r="G32" s="47" t="str">
        <f>初始!F28</f>
        <v>2245.09</v>
      </c>
      <c r="H32" s="47"/>
      <c r="I32" s="20">
        <f t="shared" si="0"/>
        <v>-0.1928653194303982</v>
      </c>
      <c r="J32" s="30"/>
      <c r="K32" s="30"/>
      <c r="L32" s="39"/>
      <c r="M32" s="40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22" customFormat="1" ht="18" customHeight="1" x14ac:dyDescent="0.15">
      <c r="A33" s="19"/>
      <c r="B33" s="43"/>
      <c r="C33" s="43">
        <v>3</v>
      </c>
      <c r="D33" s="43"/>
      <c r="E33" s="48" t="str">
        <f>初始!N29</f>
        <v>2260.92</v>
      </c>
      <c r="F33" s="48"/>
      <c r="G33" s="47" t="str">
        <f>初始!F29</f>
        <v>2260.55</v>
      </c>
      <c r="H33" s="47"/>
      <c r="I33" s="20">
        <f t="shared" si="0"/>
        <v>1.6367698126557292E-2</v>
      </c>
      <c r="J33" s="30"/>
      <c r="K33" s="30"/>
      <c r="L33" s="39"/>
      <c r="M33" s="40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22" customFormat="1" ht="18" customHeight="1" x14ac:dyDescent="0.15">
      <c r="A34" s="19"/>
      <c r="B34" s="43"/>
      <c r="C34" s="43">
        <v>4</v>
      </c>
      <c r="D34" s="43"/>
      <c r="E34" s="48" t="str">
        <f>初始!N30</f>
        <v>2230.67</v>
      </c>
      <c r="F34" s="48"/>
      <c r="G34" s="47" t="str">
        <f>初始!F30</f>
        <v>2227.72</v>
      </c>
      <c r="H34" s="47"/>
      <c r="I34" s="20">
        <f t="shared" si="0"/>
        <v>0.13242238701453832</v>
      </c>
      <c r="J34" s="30"/>
      <c r="K34" s="30"/>
      <c r="L34" s="39"/>
      <c r="M34" s="40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22" customFormat="1" ht="18" customHeight="1" x14ac:dyDescent="0.15">
      <c r="A35" s="19"/>
      <c r="B35" s="43"/>
      <c r="C35" s="43">
        <v>5</v>
      </c>
      <c r="D35" s="43"/>
      <c r="E35" s="48" t="str">
        <f>初始!N31</f>
        <v>2295.74</v>
      </c>
      <c r="F35" s="48"/>
      <c r="G35" s="47" t="str">
        <f>初始!F31</f>
        <v>2296.36</v>
      </c>
      <c r="H35" s="47"/>
      <c r="I35" s="20">
        <f t="shared" si="0"/>
        <v>-2.6999250988536009E-2</v>
      </c>
      <c r="J35" s="30"/>
      <c r="K35" s="30"/>
      <c r="L35" s="39"/>
      <c r="M35" s="40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22" customFormat="1" ht="18" customHeight="1" x14ac:dyDescent="0.15">
      <c r="A36" s="19"/>
      <c r="B36" s="43"/>
      <c r="C36" s="43">
        <v>6</v>
      </c>
      <c r="D36" s="43"/>
      <c r="E36" s="48" t="str">
        <f>初始!N32</f>
        <v>2205.47</v>
      </c>
      <c r="F36" s="48"/>
      <c r="G36" s="47" t="str">
        <f>初始!F32</f>
        <v>2203.45</v>
      </c>
      <c r="H36" s="47"/>
      <c r="I36" s="20">
        <f t="shared" si="0"/>
        <v>9.1674419660077694E-2</v>
      </c>
      <c r="J36" s="30"/>
      <c r="K36" s="30"/>
      <c r="L36" s="39"/>
      <c r="M36" s="40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2" customFormat="1" ht="18" customHeight="1" x14ac:dyDescent="0.15">
      <c r="A37" s="19"/>
      <c r="B37" s="43" t="s">
        <v>83</v>
      </c>
      <c r="C37" s="43">
        <v>1</v>
      </c>
      <c r="D37" s="43"/>
      <c r="E37" s="48" t="str">
        <f>初始!N33</f>
        <v>1126.33</v>
      </c>
      <c r="F37" s="48"/>
      <c r="G37" s="47" t="str">
        <f>初始!F33</f>
        <v>1126.53</v>
      </c>
      <c r="H37" s="47"/>
      <c r="I37" s="20">
        <f>(E37-G37)/G37*100</f>
        <v>-1.7753632837123334E-2</v>
      </c>
      <c r="J37" s="30">
        <f>AVERAGE(I37:I42)</f>
        <v>2.4484170050143261E-2</v>
      </c>
      <c r="K37" s="30">
        <f>STDEV(I37:I42)</f>
        <v>0.14172240351056731</v>
      </c>
      <c r="L37" s="39"/>
      <c r="M37" s="40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22" customFormat="1" ht="18" customHeight="1" x14ac:dyDescent="0.15">
      <c r="A38" s="19"/>
      <c r="B38" s="43"/>
      <c r="C38" s="43">
        <v>2</v>
      </c>
      <c r="D38" s="43"/>
      <c r="E38" s="48" t="str">
        <f>初始!N34</f>
        <v>1151.08</v>
      </c>
      <c r="F38" s="48"/>
      <c r="G38" s="47" t="str">
        <f>初始!F34</f>
        <v>1152.07</v>
      </c>
      <c r="H38" s="47"/>
      <c r="I38" s="20">
        <f t="shared" si="0"/>
        <v>-8.5932278420582875E-2</v>
      </c>
      <c r="J38" s="30"/>
      <c r="K38" s="30"/>
      <c r="L38" s="39"/>
      <c r="M38" s="40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22" customFormat="1" ht="18" customHeight="1" x14ac:dyDescent="0.15">
      <c r="A39" s="19"/>
      <c r="B39" s="43"/>
      <c r="C39" s="43">
        <v>3</v>
      </c>
      <c r="D39" s="43"/>
      <c r="E39" s="48" t="str">
        <f>初始!N35</f>
        <v>1142.37</v>
      </c>
      <c r="F39" s="48"/>
      <c r="G39" s="47" t="str">
        <f>初始!F35</f>
        <v>1142.37</v>
      </c>
      <c r="H39" s="47"/>
      <c r="I39" s="20">
        <f t="shared" si="0"/>
        <v>0</v>
      </c>
      <c r="J39" s="30"/>
      <c r="K39" s="30"/>
      <c r="L39" s="39"/>
      <c r="M39" s="40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8" customHeight="1" x14ac:dyDescent="0.15">
      <c r="A40" s="1"/>
      <c r="B40" s="43"/>
      <c r="C40" s="43">
        <v>4</v>
      </c>
      <c r="D40" s="43"/>
      <c r="E40" s="48" t="str">
        <f>初始!N36</f>
        <v>1145.12</v>
      </c>
      <c r="F40" s="48"/>
      <c r="G40" s="47" t="str">
        <f>初始!F36</f>
        <v>1141.91</v>
      </c>
      <c r="H40" s="47"/>
      <c r="I40" s="20">
        <f t="shared" ref="I40" si="1">(E40-G40)/G40*100</f>
        <v>0.2811079682286528</v>
      </c>
      <c r="J40" s="30"/>
      <c r="K40" s="30"/>
      <c r="L40" s="39"/>
      <c r="M40" s="4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43"/>
      <c r="C41" s="43">
        <v>5</v>
      </c>
      <c r="D41" s="43"/>
      <c r="E41" s="48" t="str">
        <f>初始!N37</f>
        <v>1138.25</v>
      </c>
      <c r="F41" s="48"/>
      <c r="G41" s="47" t="str">
        <f>初始!F37</f>
        <v>1137.38</v>
      </c>
      <c r="H41" s="47"/>
      <c r="I41" s="20">
        <f>(E41-G41)/G41*100</f>
        <v>7.6491585925538577E-2</v>
      </c>
      <c r="J41" s="30"/>
      <c r="K41" s="30"/>
      <c r="L41" s="39"/>
      <c r="M41" s="4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43"/>
      <c r="C42" s="43">
        <v>6</v>
      </c>
      <c r="D42" s="43"/>
      <c r="E42" s="48" t="str">
        <f>初始!N38</f>
        <v>1129.54</v>
      </c>
      <c r="F42" s="48"/>
      <c r="G42" s="47" t="str">
        <f>初始!F38</f>
        <v>1130.75</v>
      </c>
      <c r="H42" s="47"/>
      <c r="I42" s="20">
        <f>(E42-G42)/G42*100</f>
        <v>-0.10700862259562559</v>
      </c>
      <c r="J42" s="30"/>
      <c r="K42" s="30"/>
      <c r="L42" s="41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72" t="s">
        <v>86</v>
      </c>
      <c r="C47" s="73"/>
      <c r="D47" s="12"/>
      <c r="E47" s="12"/>
      <c r="F47" s="12"/>
      <c r="G47" s="72" t="s">
        <v>87</v>
      </c>
      <c r="H47" s="74"/>
      <c r="I47" s="12"/>
      <c r="J47" s="24" t="s">
        <v>403</v>
      </c>
      <c r="K47" s="25" t="s">
        <v>404</v>
      </c>
      <c r="L47" s="25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6" t="s">
        <v>88</v>
      </c>
      <c r="M49" s="6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81" t="s">
        <v>103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70" t="s">
        <v>59</v>
      </c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61</v>
      </c>
      <c r="C55" s="51" t="str">
        <f>C4</f>
        <v>涡街流量计</v>
      </c>
      <c r="D55" s="51"/>
      <c r="E55" s="51"/>
      <c r="F55" s="51"/>
      <c r="G55" s="51"/>
      <c r="H55" s="51"/>
      <c r="I55" s="49" t="s">
        <v>64</v>
      </c>
      <c r="J55" s="65"/>
      <c r="K55" s="51" t="str">
        <f>K4</f>
        <v>2026E70-40-000029</v>
      </c>
      <c r="L55" s="51"/>
      <c r="M55" s="5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62</v>
      </c>
      <c r="C56" s="85" t="str">
        <f>C5</f>
        <v>LUGB 080YDMEJCX2BB-251N15NN4</v>
      </c>
      <c r="D56" s="85"/>
      <c r="E56" s="85"/>
      <c r="F56" s="85"/>
      <c r="G56" s="85"/>
      <c r="H56" s="85"/>
      <c r="I56" s="49" t="s">
        <v>65</v>
      </c>
      <c r="J56" s="65"/>
      <c r="K56" s="51" t="str">
        <f>K5</f>
        <v>上海自仪海莱特流量仪表有限公司</v>
      </c>
      <c r="L56" s="51"/>
      <c r="M56" s="5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63</v>
      </c>
      <c r="C57" s="61" t="str">
        <f>C6</f>
        <v>2026010016</v>
      </c>
      <c r="D57" s="61"/>
      <c r="E57" s="61"/>
      <c r="F57" s="61"/>
      <c r="G57" s="61"/>
      <c r="H57" s="61"/>
      <c r="I57" s="49" t="s">
        <v>66</v>
      </c>
      <c r="J57" s="50"/>
      <c r="K57" s="14" t="str">
        <f>贮存环境电磁兼容后复测!B6</f>
        <v>(20-21)℃</v>
      </c>
      <c r="L57" s="16" t="s">
        <v>67</v>
      </c>
      <c r="M57" s="14" t="str">
        <f>贮存环境电磁兼容后复测!E6</f>
        <v>(68-70)%RH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68</v>
      </c>
      <c r="C58" s="51" t="s">
        <v>81</v>
      </c>
      <c r="D58" s="51"/>
      <c r="E58" s="51"/>
      <c r="F58" s="51"/>
      <c r="G58" s="83" t="s">
        <v>60</v>
      </c>
      <c r="H58" s="84"/>
      <c r="I58" s="51" t="str">
        <f>I7</f>
        <v xml:space="preserve"> ( 90～900 )m³/h</v>
      </c>
      <c r="J58" s="51"/>
      <c r="K58" s="63"/>
      <c r="L58" s="63"/>
      <c r="M58" s="6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69</v>
      </c>
      <c r="C59" s="62" t="str">
        <f>C8</f>
        <v>张衡路1500号流量大力值楼101室</v>
      </c>
      <c r="D59" s="62"/>
      <c r="E59" s="62"/>
      <c r="F59" s="62"/>
      <c r="G59" s="51"/>
      <c r="H59" s="51"/>
      <c r="I59" s="51"/>
      <c r="J59" s="3" t="str">
        <f>J8</f>
        <v>技术依据：</v>
      </c>
      <c r="K59" s="51" t="str">
        <f>K8</f>
        <v>JJG 1029-2007附录A</v>
      </c>
      <c r="L59" s="51"/>
      <c r="M59" s="5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79</v>
      </c>
      <c r="C60" s="79" t="s">
        <v>115</v>
      </c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85</v>
      </c>
      <c r="C61" s="51" t="s">
        <v>82</v>
      </c>
      <c r="D61" s="51"/>
      <c r="E61" s="12" t="str">
        <f>E14</f>
        <v>900</v>
      </c>
      <c r="F61" s="4" t="s">
        <v>75</v>
      </c>
      <c r="G61" s="51" t="s">
        <v>83</v>
      </c>
      <c r="H61" s="51"/>
      <c r="I61" s="12" t="str">
        <f>I14</f>
        <v>90</v>
      </c>
      <c r="J61" s="4" t="s">
        <v>75</v>
      </c>
      <c r="K61" s="13" t="s">
        <v>84</v>
      </c>
      <c r="L61" s="12" t="str">
        <f>L14</f>
        <v>180</v>
      </c>
      <c r="M61" s="4" t="s">
        <v>75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76" t="s">
        <v>90</v>
      </c>
      <c r="C62" s="31" t="s">
        <v>89</v>
      </c>
      <c r="D62" s="38"/>
      <c r="E62" s="55" t="s">
        <v>92</v>
      </c>
      <c r="F62" s="56"/>
      <c r="G62" s="55" t="s">
        <v>93</v>
      </c>
      <c r="H62" s="56"/>
      <c r="I62" s="43" t="s">
        <v>94</v>
      </c>
      <c r="J62" s="55" t="s">
        <v>102</v>
      </c>
      <c r="K62" s="56"/>
      <c r="L62" s="43" t="s">
        <v>101</v>
      </c>
      <c r="M62" s="4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77"/>
      <c r="C63" s="39"/>
      <c r="D63" s="40"/>
      <c r="E63" s="57"/>
      <c r="F63" s="58"/>
      <c r="G63" s="57"/>
      <c r="H63" s="58"/>
      <c r="I63" s="75"/>
      <c r="J63" s="57"/>
      <c r="K63" s="58"/>
      <c r="L63" s="43"/>
      <c r="M63" s="4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77"/>
      <c r="C64" s="39"/>
      <c r="D64" s="40"/>
      <c r="E64" s="59"/>
      <c r="F64" s="60"/>
      <c r="G64" s="59"/>
      <c r="H64" s="60"/>
      <c r="I64" s="75"/>
      <c r="J64" s="59"/>
      <c r="K64" s="60"/>
      <c r="L64" s="43"/>
      <c r="M64" s="4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78"/>
      <c r="C65" s="41"/>
      <c r="D65" s="42"/>
      <c r="E65" s="43" t="s">
        <v>91</v>
      </c>
      <c r="F65" s="43"/>
      <c r="G65" s="43" t="s">
        <v>91</v>
      </c>
      <c r="H65" s="43"/>
      <c r="I65" s="10" t="s">
        <v>96</v>
      </c>
      <c r="J65" s="43" t="s">
        <v>96</v>
      </c>
      <c r="K65" s="43"/>
      <c r="L65" s="43"/>
      <c r="M65" s="4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44" t="s">
        <v>83</v>
      </c>
      <c r="C66" s="43">
        <v>1</v>
      </c>
      <c r="D66" s="43"/>
      <c r="E66" s="48" t="str">
        <f>贮存环境电磁兼容后复测!N15</f>
        <v>1543.33</v>
      </c>
      <c r="F66" s="48"/>
      <c r="G66" s="47" t="str">
        <f>贮存环境电磁兼容后复测!F15</f>
        <v>1549.42</v>
      </c>
      <c r="H66" s="47"/>
      <c r="I66" s="15">
        <f>(E66-G66)/G66*100</f>
        <v>-0.39305030269392061</v>
      </c>
      <c r="J66" s="30">
        <f>AVERAGE(I66:I68)</f>
        <v>-0.4770768673104866</v>
      </c>
      <c r="K66" s="30"/>
      <c r="L66" s="64" t="s">
        <v>116</v>
      </c>
      <c r="M66" s="3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45"/>
      <c r="C67" s="43">
        <v>2</v>
      </c>
      <c r="D67" s="43"/>
      <c r="E67" s="48" t="str">
        <f>贮存环境电磁兼容后复测!N16</f>
        <v>1544.70</v>
      </c>
      <c r="F67" s="48"/>
      <c r="G67" s="47" t="str">
        <f>贮存环境电磁兼容后复测!F16</f>
        <v>1551.41</v>
      </c>
      <c r="H67" s="47"/>
      <c r="I67" s="15">
        <f t="shared" ref="I67:I68" si="2">(E67-G67)/G67*100</f>
        <v>-0.43250978142464186</v>
      </c>
      <c r="J67" s="30"/>
      <c r="K67" s="30"/>
      <c r="L67" s="39"/>
      <c r="M67" s="4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46"/>
      <c r="C68" s="43">
        <v>3</v>
      </c>
      <c r="D68" s="43"/>
      <c r="E68" s="48" t="str">
        <f>贮存环境电磁兼容后复测!N17</f>
        <v>1544.24</v>
      </c>
      <c r="F68" s="48"/>
      <c r="G68" s="47" t="str">
        <f>贮存环境电磁兼容后复测!F17</f>
        <v>1553.65</v>
      </c>
      <c r="H68" s="47"/>
      <c r="I68" s="15">
        <f t="shared" si="2"/>
        <v>-0.60567051781289738</v>
      </c>
      <c r="J68" s="30"/>
      <c r="K68" s="30"/>
      <c r="L68" s="39"/>
      <c r="M68" s="4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2" customFormat="1" ht="20.100000000000001" customHeight="1" x14ac:dyDescent="0.15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22" customFormat="1" ht="20.100000000000001" customHeight="1" x14ac:dyDescent="0.15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22" customFormat="1" ht="20.100000000000001" customHeight="1" x14ac:dyDescent="0.1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22" customFormat="1" ht="20.100000000000001" customHeight="1" x14ac:dyDescent="0.15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22" customFormat="1" ht="20.100000000000001" customHeight="1" x14ac:dyDescent="0.15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22" customFormat="1" ht="20.100000000000001" customHeight="1" x14ac:dyDescent="0.15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72" t="s">
        <v>86</v>
      </c>
      <c r="C90" s="73"/>
      <c r="D90" s="12"/>
      <c r="E90" s="12"/>
      <c r="F90" s="12"/>
      <c r="G90" s="72" t="s">
        <v>87</v>
      </c>
      <c r="H90" s="74"/>
      <c r="I90" s="12"/>
      <c r="J90" s="24" t="s">
        <v>403</v>
      </c>
      <c r="K90" s="26" t="s">
        <v>405</v>
      </c>
      <c r="L90" s="26"/>
      <c r="M90" s="2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66" t="s">
        <v>88</v>
      </c>
      <c r="M92" s="6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68"/>
      <c r="M93" s="6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35" ht="20.100000000000001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35" ht="20.100000000000001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35" ht="20.100000000000001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35" ht="20.100000000000001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35" ht="20.100000000000001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20.100000000000001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20.100000000000001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20.100000000000001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</sheetData>
  <mergeCells count="169"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26:D26"/>
    <mergeCell ref="E22:F22"/>
    <mergeCell ref="E23:F23"/>
    <mergeCell ref="G47:H4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K5:M5"/>
    <mergeCell ref="E24:F24"/>
    <mergeCell ref="E25:F25"/>
    <mergeCell ref="C12:E12"/>
    <mergeCell ref="G27:H27"/>
    <mergeCell ref="C7:F7"/>
    <mergeCell ref="G7:H7"/>
    <mergeCell ref="K15:K17"/>
    <mergeCell ref="C15:D18"/>
    <mergeCell ref="I15:I17"/>
    <mergeCell ref="J15:J17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I58:J58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E32:F32"/>
    <mergeCell ref="E33:F33"/>
    <mergeCell ref="C67:D67"/>
    <mergeCell ref="B62:B65"/>
    <mergeCell ref="C62:D65"/>
    <mergeCell ref="E42:F42"/>
    <mergeCell ref="E40:F40"/>
    <mergeCell ref="E41:F41"/>
    <mergeCell ref="E20:F20"/>
    <mergeCell ref="E19:F19"/>
    <mergeCell ref="C38:D38"/>
    <mergeCell ref="E62:F64"/>
    <mergeCell ref="G62:H64"/>
    <mergeCell ref="J62:K64"/>
    <mergeCell ref="C30:D30"/>
    <mergeCell ref="G30:H30"/>
    <mergeCell ref="J31:J36"/>
    <mergeCell ref="J37:J42"/>
    <mergeCell ref="C40:D40"/>
    <mergeCell ref="C41:D41"/>
    <mergeCell ref="E34:F34"/>
    <mergeCell ref="E35:F35"/>
    <mergeCell ref="E36:F36"/>
    <mergeCell ref="E37:F37"/>
    <mergeCell ref="E38:F38"/>
    <mergeCell ref="E39:F39"/>
    <mergeCell ref="C61:D61"/>
    <mergeCell ref="G61:H61"/>
    <mergeCell ref="K19:K24"/>
    <mergeCell ref="K8:M8"/>
    <mergeCell ref="K7:M7"/>
    <mergeCell ref="G9:M9"/>
    <mergeCell ref="C6:H6"/>
    <mergeCell ref="E15:F17"/>
    <mergeCell ref="G15:H17"/>
    <mergeCell ref="I57:J5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E31:F31"/>
    <mergeCell ref="C39:D39"/>
    <mergeCell ref="I6:J6"/>
    <mergeCell ref="C8:I8"/>
    <mergeCell ref="I7:J7"/>
    <mergeCell ref="G24:H24"/>
    <mergeCell ref="G19:H19"/>
    <mergeCell ref="E18:F18"/>
    <mergeCell ref="C14:D14"/>
    <mergeCell ref="G14:H14"/>
    <mergeCell ref="C25:D25"/>
    <mergeCell ref="K47:M47"/>
    <mergeCell ref="K90:M90"/>
    <mergeCell ref="K25:K30"/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2026-10-20T00:40:41Z</cp:lastPrinted>
  <dcterms:created xsi:type="dcterms:W3CDTF">2025-09-05T03:03:06Z</dcterms:created>
  <dcterms:modified xsi:type="dcterms:W3CDTF">2026-10-21T02:18:11Z</dcterms:modified>
</cp:coreProperties>
</file>