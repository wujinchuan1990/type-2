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E33" i="3"/>
  <c r="I33" i="3" s="1"/>
  <c r="E34" i="3"/>
  <c r="I34" i="3" s="1"/>
  <c r="E35" i="3"/>
  <c r="I35" i="3" s="1"/>
  <c r="E36" i="3"/>
  <c r="E37" i="3"/>
  <c r="E38" i="3"/>
  <c r="E39" i="3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1" i="3" l="1"/>
  <c r="I32" i="3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J31" i="3" s="1"/>
  <c r="I38" i="3"/>
  <c r="I42" i="3"/>
  <c r="I40" i="3"/>
  <c r="I41" i="3"/>
  <c r="J25" i="3" l="1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<sst xmlns="http://schemas.openxmlformats.org/spreadsheetml/2006/main" count="585" uniqueCount="419">
  <si>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</si>
  <si>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</si>
  <si>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</si>
  <si>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</si>
  <si>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</si>
  <si>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</si>
  <si>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</si>
  <si>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</si>
  <si>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</si>
  <si>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</si>
  <si>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</si>
  <si>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</si>
  <si>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</si>
  <si>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</si>
  <si>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</si>
  <si>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</si>
  <si>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</si>
  <si>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</si>
  <si>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</si>
  <si>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</si>
  <si>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</si>
  <si>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</si>
  <si>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</si>
  <si>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</si>
  <si>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</si>
  <si>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</si>
  <si>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</si>
  <si>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</si>
  <si>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</si>
  <si>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</si>
  <si>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</si>
  <si>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</si>
  <si>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</si>
  <si>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</si>
  <si>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</si>
  <si>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</si>
  <si>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</si>
  <si>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</si>
  <si>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</si>
  <si>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</si>
  <si>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</si>
  <si>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</si>
  <si>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</si>
  <si>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</si>
  <si>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</si>
  <si>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</si>
  <si>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脉冲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</si>
  <si>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</si>
  <si>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</si>
  <si>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</si>
  <si>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</si>
  <si>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</si>
  <si>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</si>
  <si>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</si>
  <si>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</si>
  <si>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</si>
  <si>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2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</si>
  <si>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</si>
  <si>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</si>
  <si>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</si>
  <si>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</si>
  <si>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</si>
  <si>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</si>
  <si>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</si>
  <si>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</si>
  <si>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</si>
  <si>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</si>
  <si>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</si>
  <si>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</si>
  <si>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</si>
  <si>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</si>
  <si>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</si>
  <si>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</si>
  <si>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</si>
  <si>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</si>
  <si>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</si>
  <si>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</si>
  <si>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</si>
  <si>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</si>
  <si>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</si>
  <si>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</si>
  <si>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</si>
  <si>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</si>
  <si>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</si>
  <si>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</si>
  <si>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</si>
  <si>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</si>
  <si>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</si>
  <si>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</si>
  <si>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</si>
  <si>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</si>
  <si>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</si>
  <si>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</si>
  <si>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</si>
  <si>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</si>
  <si>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</si>
  <si>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</si>
  <si>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</si>
  <si>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</si>
  <si>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</si>
  <si>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</si>
  <si>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</si>
  <si>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</si>
  <si>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</si>
  <si>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LUGB 015YDMEJCX2BB-401N15NN4</t>
  </si>
  <si>
    <t>2026E70-40-</t>
  </si>
  <si>
    <t>涡街流量计</t>
  </si>
  <si>
    <t>上海自仪海莱特流量仪表有限公司</t>
  </si>
  <si>
    <t xml:space="preserve"> ( 3.2～32 )m^3/h</t>
  </si>
  <si>
    <t>JJG 1029-2007《涡街流量计》</t>
  </si>
  <si>
    <t>(68-70)%RH</t>
  </si>
  <si>
    <t>32</t>
    <phoneticPr fontId="10" type="noConversion"/>
  </si>
  <si>
    <t>0.09</t>
  </si>
  <si>
    <t>3.2</t>
    <phoneticPr fontId="10" type="noConversion"/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</si>
  <si>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</si>
  <si>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</si>
  <si>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</si>
  <si>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</si>
  <si>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</si>
  <si>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</si>
  <si>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</si>
  <si>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20.67</t>
  </si>
  <si>
    <t>20.71</t>
  </si>
  <si>
    <t>20.84</t>
  </si>
  <si>
    <t>21.00</t>
  </si>
  <si>
    <t>44.5542</t>
  </si>
  <si>
    <t>99.285</t>
  </si>
  <si>
    <t>20.97</t>
  </si>
  <si>
    <t>0.06</t>
  </si>
  <si>
    <t>20.95</t>
  </si>
  <si>
    <t>6.4</t>
    <phoneticPr fontId="10" type="noConversion"/>
  </si>
  <si>
    <t>0.12</t>
  </si>
  <si>
    <t>0.26</t>
  </si>
  <si>
    <t>0.31</t>
  </si>
  <si>
    <t>20.81</t>
  </si>
  <si>
    <t>0.35</t>
  </si>
  <si>
    <t>20.78</t>
  </si>
  <si>
    <t>2026010023</t>
  </si>
  <si>
    <t>340.673 1/L</t>
  </si>
  <si>
    <t>-1.95%</t>
  </si>
  <si>
    <t>-1.75%</t>
  </si>
  <si>
    <t>0.06%</t>
  </si>
  <si>
    <t>0.23%</t>
  </si>
  <si>
    <t>20.84℃</t>
  </si>
  <si>
    <t>94.380kPa</t>
  </si>
  <si>
    <t>示值误差 不合格</t>
  </si>
  <si>
    <t>44.1633</t>
  </si>
  <si>
    <t>389.323</t>
  </si>
  <si>
    <t>31.6937</t>
  </si>
  <si>
    <t>388.805</t>
  </si>
  <si>
    <t>94.380</t>
  </si>
  <si>
    <t>3007.1</t>
  </si>
  <si>
    <t>132805</t>
  </si>
  <si>
    <t>389.831</t>
  </si>
  <si>
    <t>-1.73</t>
  </si>
  <si>
    <t>0.03</t>
  </si>
  <si>
    <t>44.0693</t>
  </si>
  <si>
    <t>387.156</t>
  </si>
  <si>
    <t>31.5947</t>
  </si>
  <si>
    <t>386.766</t>
  </si>
  <si>
    <t>94.420</t>
  </si>
  <si>
    <t>2997.5</t>
  </si>
  <si>
    <t>132096</t>
  </si>
  <si>
    <t>387.750</t>
  </si>
  <si>
    <t>0.25</t>
  </si>
  <si>
    <t>45.3182</t>
  </si>
  <si>
    <t>396.845</t>
  </si>
  <si>
    <t>31.4974</t>
  </si>
  <si>
    <t>396.502</t>
  </si>
  <si>
    <t>94.437</t>
  </si>
  <si>
    <t>21.03</t>
  </si>
  <si>
    <t>2990.0</t>
  </si>
  <si>
    <t>135502</t>
  </si>
  <si>
    <t>397.748</t>
  </si>
  <si>
    <t>31.43</t>
  </si>
  <si>
    <t>44.0230</t>
  </si>
  <si>
    <t>385.482</t>
  </si>
  <si>
    <t>31.4943</t>
  </si>
  <si>
    <t>385.132</t>
  </si>
  <si>
    <t>94.456</t>
  </si>
  <si>
    <t>21.04</t>
  </si>
  <si>
    <t>2980.1</t>
  </si>
  <si>
    <t>131191</t>
  </si>
  <si>
    <t>385.094</t>
  </si>
  <si>
    <t>-0.01</t>
  </si>
  <si>
    <t>-1.95</t>
  </si>
  <si>
    <t>0.05</t>
  </si>
  <si>
    <t>44.8496</t>
  </si>
  <si>
    <t>391.682</t>
  </si>
  <si>
    <t>31.4094</t>
  </si>
  <si>
    <t>391.305</t>
  </si>
  <si>
    <t>94.485</t>
  </si>
  <si>
    <t>2974.1</t>
  </si>
  <si>
    <t>133385</t>
  </si>
  <si>
    <t>391.534</t>
  </si>
  <si>
    <t>43.8205</t>
  </si>
  <si>
    <t>382.288</t>
  </si>
  <si>
    <t>31.3725</t>
  </si>
  <si>
    <t>381.877</t>
  </si>
  <si>
    <t>94.498</t>
  </si>
  <si>
    <t>2971.6</t>
  </si>
  <si>
    <t>130216</t>
  </si>
  <si>
    <t>382.232</t>
  </si>
  <si>
    <t>12.57</t>
  </si>
  <si>
    <t>155.320</t>
  </si>
  <si>
    <t>12.5531</t>
  </si>
  <si>
    <t>155.359</t>
  </si>
  <si>
    <t>99.291</t>
  </si>
  <si>
    <t>1193.1</t>
  </si>
  <si>
    <t>53159</t>
  </si>
  <si>
    <t>156.041</t>
  </si>
  <si>
    <t>0.44</t>
  </si>
  <si>
    <t>-1.64</t>
  </si>
  <si>
    <t>44.3993</t>
  </si>
  <si>
    <t>154.879</t>
  </si>
  <si>
    <t>12.5606</t>
  </si>
  <si>
    <t>154.912</t>
  </si>
  <si>
    <t>99.289</t>
  </si>
  <si>
    <t>20.91</t>
  </si>
  <si>
    <t>1192.7</t>
  </si>
  <si>
    <t>52957</t>
  </si>
  <si>
    <t>155.448</t>
  </si>
  <si>
    <t>44.5693</t>
  </si>
  <si>
    <t>156.099</t>
  </si>
  <si>
    <t>12.6100</t>
  </si>
  <si>
    <t>156.116</t>
  </si>
  <si>
    <t>20.87</t>
  </si>
  <si>
    <t>1197.2</t>
  </si>
  <si>
    <t>53359</t>
  </si>
  <si>
    <t>156.628</t>
  </si>
  <si>
    <t>0.33</t>
  </si>
  <si>
    <t>12.66</t>
  </si>
  <si>
    <t>44.9286</t>
  </si>
  <si>
    <t>157.853</t>
  </si>
  <si>
    <t>12.6489</t>
  </si>
  <si>
    <t>157.861</t>
  </si>
  <si>
    <t>99.277</t>
  </si>
  <si>
    <t>1200.5</t>
  </si>
  <si>
    <t>53936</t>
  </si>
  <si>
    <t>158.322</t>
  </si>
  <si>
    <t>0.29</t>
  </si>
  <si>
    <t>-1.65</t>
  </si>
  <si>
    <t>44.5220</t>
  </si>
  <si>
    <t>156.806</t>
  </si>
  <si>
    <t>12.6789</t>
  </si>
  <si>
    <t>156.802</t>
  </si>
  <si>
    <t>99.262</t>
  </si>
  <si>
    <t>1204.8</t>
  </si>
  <si>
    <t>53642</t>
  </si>
  <si>
    <t>157.459</t>
  </si>
  <si>
    <t>0.42</t>
  </si>
  <si>
    <t>44.4912</t>
  </si>
  <si>
    <t>156.255</t>
  </si>
  <si>
    <t>12.6424</t>
  </si>
  <si>
    <t>156.243</t>
  </si>
  <si>
    <t>99.276</t>
  </si>
  <si>
    <t>1200.7</t>
  </si>
  <si>
    <t>53421</t>
  </si>
  <si>
    <t>156.810</t>
  </si>
  <si>
    <t>0.36</t>
  </si>
  <si>
    <t>44.1621</t>
  </si>
  <si>
    <t>80.6446</t>
  </si>
  <si>
    <t>6.57469</t>
  </si>
  <si>
    <t>80.6534</t>
  </si>
  <si>
    <t>100.027</t>
  </si>
  <si>
    <t>20.76</t>
  </si>
  <si>
    <t>624.0</t>
  </si>
  <si>
    <t>27558</t>
  </si>
  <si>
    <t>80.8928</t>
  </si>
  <si>
    <t>0.30</t>
  </si>
  <si>
    <t>-1.75</t>
  </si>
  <si>
    <t>44.1943</t>
  </si>
  <si>
    <t>81.3077</t>
  </si>
  <si>
    <t>6.62362</t>
  </si>
  <si>
    <t>81.3129</t>
  </si>
  <si>
    <t>100.034</t>
  </si>
  <si>
    <t>20.75</t>
  </si>
  <si>
    <t>628.6</t>
  </si>
  <si>
    <t>27779</t>
  </si>
  <si>
    <t>81.5415</t>
  </si>
  <si>
    <t>0.28</t>
  </si>
  <si>
    <t>44.9284</t>
  </si>
  <si>
    <t>82.3208</t>
  </si>
  <si>
    <t>6.59661</t>
  </si>
  <si>
    <t>82.3264</t>
  </si>
  <si>
    <t>100.036</t>
  </si>
  <si>
    <t>20.73</t>
  </si>
  <si>
    <t>625.4</t>
  </si>
  <si>
    <t>28099</t>
  </si>
  <si>
    <t>82.4809</t>
  </si>
  <si>
    <t>0.19</t>
  </si>
  <si>
    <t>6.617</t>
  </si>
  <si>
    <t>44.5206</t>
  </si>
  <si>
    <t>82.2474</t>
  </si>
  <si>
    <t>6.65098</t>
  </si>
  <si>
    <t>82.2516</t>
  </si>
  <si>
    <t>100.021</t>
  </si>
  <si>
    <t>20.72</t>
  </si>
  <si>
    <t>632.3</t>
  </si>
  <si>
    <t>28150</t>
  </si>
  <si>
    <t>82.6306</t>
  </si>
  <si>
    <t>0.46</t>
  </si>
  <si>
    <t>-1.63</t>
  </si>
  <si>
    <t>0.23</t>
  </si>
  <si>
    <t>44.3506</t>
  </si>
  <si>
    <t>81.7143</t>
  </si>
  <si>
    <t>6.63310</t>
  </si>
  <si>
    <t>81.7172</t>
  </si>
  <si>
    <t>100.012</t>
  </si>
  <si>
    <t>631.2</t>
  </si>
  <si>
    <t>27995</t>
  </si>
  <si>
    <t>82.1756</t>
  </si>
  <si>
    <t>0.56</t>
  </si>
  <si>
    <t>44.6762</t>
  </si>
  <si>
    <t>81.4869</t>
  </si>
  <si>
    <t>6.56642</t>
  </si>
  <si>
    <t>81.4896</t>
  </si>
  <si>
    <t>100.018</t>
  </si>
  <si>
    <t>20.70</t>
  </si>
  <si>
    <t>622.2</t>
  </si>
  <si>
    <t>27796</t>
  </si>
  <si>
    <t>81.5914</t>
  </si>
  <si>
    <t>44.8672</t>
  </si>
  <si>
    <t>40.9674</t>
  </si>
  <si>
    <t>3.28711</t>
  </si>
  <si>
    <t>40.9676</t>
  </si>
  <si>
    <t>100.242</t>
  </si>
  <si>
    <t>20.68</t>
  </si>
  <si>
    <t>307.0</t>
  </si>
  <si>
    <t>13774</t>
  </si>
  <si>
    <t>40.4317</t>
  </si>
  <si>
    <t>-1.31</t>
  </si>
  <si>
    <t>-3.38</t>
  </si>
  <si>
    <t>0.11</t>
  </si>
  <si>
    <t>43.8990</t>
  </si>
  <si>
    <t>40.6427</t>
  </si>
  <si>
    <t>3.33293</t>
  </si>
  <si>
    <t>40.6423</t>
  </si>
  <si>
    <t>100.240</t>
  </si>
  <si>
    <t>310.6</t>
  </si>
  <si>
    <t>13634</t>
  </si>
  <si>
    <t>40.0208</t>
  </si>
  <si>
    <t>-1.53</t>
  </si>
  <si>
    <t>43.7875</t>
  </si>
  <si>
    <t>40.6952</t>
  </si>
  <si>
    <t>3.34577</t>
  </si>
  <si>
    <t>100.239</t>
  </si>
  <si>
    <t>312.2</t>
  </si>
  <si>
    <t>13672</t>
  </si>
  <si>
    <t>40.1323</t>
  </si>
  <si>
    <t>-1.38</t>
  </si>
  <si>
    <t>3.373</t>
  </si>
  <si>
    <t>44.7092</t>
  </si>
  <si>
    <t>41.7484</t>
  </si>
  <si>
    <t>3.36170</t>
  </si>
  <si>
    <t>41.7498</t>
  </si>
  <si>
    <t>100.228</t>
  </si>
  <si>
    <t>314.7</t>
  </si>
  <si>
    <t>14068</t>
  </si>
  <si>
    <t>41.2947</t>
  </si>
  <si>
    <t>-1.09</t>
  </si>
  <si>
    <t>-3.24</t>
  </si>
  <si>
    <t>0.17</t>
  </si>
  <si>
    <t>44.1350</t>
  </si>
  <si>
    <t>41.6073</t>
  </si>
  <si>
    <t>3.39395</t>
  </si>
  <si>
    <t>41.6089</t>
  </si>
  <si>
    <t>100.226</t>
  </si>
  <si>
    <t>316.6</t>
  </si>
  <si>
    <t>13972</t>
  </si>
  <si>
    <t>41.0129</t>
  </si>
  <si>
    <t>-1.43</t>
  </si>
  <si>
    <t>44.5701</t>
  </si>
  <si>
    <t>41.6313</t>
  </si>
  <si>
    <t>3.36284</t>
  </si>
  <si>
    <t>41.6339</t>
  </si>
  <si>
    <t>20.66</t>
  </si>
  <si>
    <t>314.1</t>
  </si>
  <si>
    <t>14001</t>
  </si>
  <si>
    <t>41.0981</t>
  </si>
  <si>
    <t>-1.29</t>
  </si>
  <si>
    <r>
      <t>JJG 1029-2007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</si>
  <si>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 xml:space="preserve"> ( 3.2～32.0 )m^3/h</t>
  </si>
  <si>
    <t>21.02℃</t>
  </si>
  <si>
    <t>101.383kPa</t>
  </si>
  <si>
    <t>3.315</t>
  </si>
  <si>
    <t>60.3004</t>
  </si>
  <si>
    <t>55.2790</t>
  </si>
  <si>
    <t>3.30114</t>
  </si>
  <si>
    <t>55.2945</t>
  </si>
  <si>
    <t>101.383</t>
  </si>
  <si>
    <t>21.02</t>
  </si>
  <si>
    <t>308.7</t>
  </si>
  <si>
    <t>18613</t>
  </si>
  <si>
    <t>54.6360</t>
  </si>
  <si>
    <t>-1.19</t>
  </si>
  <si>
    <t>-1.20</t>
  </si>
  <si>
    <t>0.10</t>
  </si>
  <si>
    <t>59.2965</t>
  </si>
  <si>
    <t>54.6772</t>
  </si>
  <si>
    <t>3.32130</t>
  </si>
  <si>
    <t>54.7060</t>
  </si>
  <si>
    <t>101.382</t>
  </si>
  <si>
    <t>310.2</t>
  </si>
  <si>
    <t>18394</t>
  </si>
  <si>
    <t>53.9931</t>
  </si>
  <si>
    <t>-1.30</t>
  </si>
  <si>
    <t>58.9683</t>
  </si>
  <si>
    <t>54.3792</t>
  </si>
  <si>
    <t>3.32193</t>
  </si>
  <si>
    <t>54.4135</t>
  </si>
  <si>
    <t>310.9</t>
  </si>
  <si>
    <t>18332</t>
  </si>
  <si>
    <t>53.8111</t>
  </si>
  <si>
    <t>-1.11</t>
  </si>
  <si>
    <t>2026E70-40-000029</t>
    <phoneticPr fontId="2" type="noConversion"/>
  </si>
  <si>
    <t>检测日期：</t>
    <phoneticPr fontId="2" type="noConversion"/>
  </si>
  <si>
    <t>2026.09.01 09:00~2026.09.01 16:00</t>
    <phoneticPr fontId="2" type="noConversion"/>
  </si>
  <si>
    <t>2026.11.03 09:00~2026.11.03 16:00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</si>
</sst>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2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9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sqref="A1:Q38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104</v>
      </c>
      <c r="I2" s="22"/>
      <c r="J2" s="22"/>
      <c r="K2" s="22"/>
      <c r="L2" s="22"/>
      <c r="M2" s="22"/>
      <c r="N2" s="22"/>
      <c r="O2" s="6" t="s">
        <v>3</v>
      </c>
      <c r="P2" s="6" t="s">
        <v>105</v>
      </c>
      <c r="Q2" s="22"/>
    </row>
    <row r="3" spans="1:17" ht="14.25" customHeight="1" x14ac:dyDescent="0.15">
      <c r="A3" s="6" t="s">
        <v>4</v>
      </c>
      <c r="B3" s="6" t="s">
        <v>106</v>
      </c>
      <c r="C3" s="22"/>
      <c r="D3" s="22"/>
      <c r="E3" s="22"/>
      <c r="F3" s="22"/>
      <c r="G3" s="6" t="s">
        <v>5</v>
      </c>
      <c r="H3" s="6" t="s">
        <v>137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107</v>
      </c>
      <c r="C4" s="22"/>
      <c r="D4" s="22"/>
      <c r="E4" s="22"/>
      <c r="F4" s="22"/>
      <c r="G4" s="6" t="s">
        <v>9</v>
      </c>
      <c r="H4" s="6" t="s">
        <v>108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109</v>
      </c>
      <c r="C5" s="22"/>
      <c r="D5" s="22"/>
      <c r="E5" s="22"/>
      <c r="F5" s="22"/>
      <c r="G5" s="6" t="s">
        <v>13</v>
      </c>
      <c r="H5" s="6" t="s">
        <v>138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110</v>
      </c>
      <c r="F6" s="22"/>
      <c r="G6" s="22"/>
      <c r="H6" s="22"/>
      <c r="I6" s="22"/>
      <c r="J6" s="22"/>
      <c r="K6" s="22"/>
      <c r="L6" s="22"/>
      <c r="M6" s="22"/>
      <c r="N6" s="22"/>
      <c r="O6" s="6" t="s">
        <v>20</v>
      </c>
      <c r="P6" s="6" t="s">
        <v>139</v>
      </c>
      <c r="Q6" s="6" t="s">
        <v>140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141</v>
      </c>
      <c r="Q7" s="6" t="s">
        <v>142</v>
      </c>
    </row>
    <row r="8" spans="1:17" ht="14.25" customHeight="1" x14ac:dyDescent="0.15">
      <c r="A8" s="6" t="s">
        <v>25</v>
      </c>
      <c r="B8" s="6" t="s">
        <v>143</v>
      </c>
      <c r="C8" s="22"/>
      <c r="D8" s="6" t="s">
        <v>26</v>
      </c>
      <c r="E8" s="6" t="s">
        <v>144</v>
      </c>
      <c r="F8" s="22"/>
      <c r="G8" s="6" t="s">
        <v>27</v>
      </c>
      <c r="H8" s="6" t="s">
        <v>106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145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111</v>
      </c>
      <c r="B15" s="6" t="s">
        <v>55</v>
      </c>
      <c r="C15" s="6" t="s">
        <v>146</v>
      </c>
      <c r="D15" s="6" t="s">
        <v>147</v>
      </c>
      <c r="E15" s="6" t="s">
        <v>148</v>
      </c>
      <c r="F15" s="6" t="s">
        <v>149</v>
      </c>
      <c r="G15" s="6" t="s">
        <v>150</v>
      </c>
      <c r="H15" s="6" t="s">
        <v>123</v>
      </c>
      <c r="I15" s="22"/>
      <c r="J15" s="22"/>
      <c r="K15" s="22"/>
      <c r="L15" s="6" t="s">
        <v>151</v>
      </c>
      <c r="M15" s="6" t="s">
        <v>152</v>
      </c>
      <c r="N15" s="6" t="s">
        <v>153</v>
      </c>
      <c r="O15" s="6" t="s">
        <v>132</v>
      </c>
      <c r="P15" s="6" t="s">
        <v>154</v>
      </c>
      <c r="Q15" s="6" t="s">
        <v>155</v>
      </c>
    </row>
    <row r="16" spans="1:17" ht="14.25" customHeight="1" x14ac:dyDescent="0.15">
      <c r="A16" s="22"/>
      <c r="B16" s="6" t="s">
        <v>56</v>
      </c>
      <c r="C16" s="6" t="s">
        <v>156</v>
      </c>
      <c r="D16" s="6" t="s">
        <v>157</v>
      </c>
      <c r="E16" s="6" t="s">
        <v>158</v>
      </c>
      <c r="F16" s="6" t="s">
        <v>159</v>
      </c>
      <c r="G16" s="6" t="s">
        <v>160</v>
      </c>
      <c r="H16" s="6" t="s">
        <v>127</v>
      </c>
      <c r="I16" s="22"/>
      <c r="J16" s="22"/>
      <c r="K16" s="22"/>
      <c r="L16" s="6" t="s">
        <v>161</v>
      </c>
      <c r="M16" s="6" t="s">
        <v>162</v>
      </c>
      <c r="N16" s="6" t="s">
        <v>163</v>
      </c>
      <c r="O16" s="6" t="s">
        <v>164</v>
      </c>
      <c r="P16" s="22"/>
      <c r="Q16" s="22"/>
    </row>
    <row r="17" spans="1:17" ht="14.25" customHeight="1" x14ac:dyDescent="0.15">
      <c r="A17" s="22"/>
      <c r="B17" s="6" t="s">
        <v>57</v>
      </c>
      <c r="C17" s="6" t="s">
        <v>165</v>
      </c>
      <c r="D17" s="6" t="s">
        <v>166</v>
      </c>
      <c r="E17" s="6" t="s">
        <v>167</v>
      </c>
      <c r="F17" s="6" t="s">
        <v>168</v>
      </c>
      <c r="G17" s="6" t="s">
        <v>169</v>
      </c>
      <c r="H17" s="6" t="s">
        <v>170</v>
      </c>
      <c r="I17" s="22"/>
      <c r="J17" s="22"/>
      <c r="K17" s="22"/>
      <c r="L17" s="6" t="s">
        <v>171</v>
      </c>
      <c r="M17" s="6" t="s">
        <v>172</v>
      </c>
      <c r="N17" s="6" t="s">
        <v>173</v>
      </c>
      <c r="O17" s="6" t="s">
        <v>133</v>
      </c>
      <c r="P17" s="22"/>
      <c r="Q17" s="22"/>
    </row>
    <row r="18" spans="1:17" ht="14.25" customHeight="1" x14ac:dyDescent="0.15">
      <c r="A18" s="6" t="s">
        <v>174</v>
      </c>
      <c r="B18" s="6" t="s">
        <v>55</v>
      </c>
      <c r="C18" s="6" t="s">
        <v>175</v>
      </c>
      <c r="D18" s="6" t="s">
        <v>176</v>
      </c>
      <c r="E18" s="6" t="s">
        <v>177</v>
      </c>
      <c r="F18" s="6" t="s">
        <v>178</v>
      </c>
      <c r="G18" s="6" t="s">
        <v>179</v>
      </c>
      <c r="H18" s="6" t="s">
        <v>180</v>
      </c>
      <c r="I18" s="22"/>
      <c r="J18" s="22"/>
      <c r="K18" s="22"/>
      <c r="L18" s="6" t="s">
        <v>181</v>
      </c>
      <c r="M18" s="6" t="s">
        <v>182</v>
      </c>
      <c r="N18" s="6" t="s">
        <v>183</v>
      </c>
      <c r="O18" s="6" t="s">
        <v>184</v>
      </c>
      <c r="P18" s="6" t="s">
        <v>185</v>
      </c>
      <c r="Q18" s="6" t="s">
        <v>186</v>
      </c>
    </row>
    <row r="19" spans="1:17" x14ac:dyDescent="0.15">
      <c r="A19" s="22"/>
      <c r="B19" s="6" t="s">
        <v>56</v>
      </c>
      <c r="C19" s="6" t="s">
        <v>187</v>
      </c>
      <c r="D19" s="6" t="s">
        <v>188</v>
      </c>
      <c r="E19" s="6" t="s">
        <v>189</v>
      </c>
      <c r="F19" s="6" t="s">
        <v>190</v>
      </c>
      <c r="G19" s="6" t="s">
        <v>191</v>
      </c>
      <c r="H19" s="6" t="s">
        <v>170</v>
      </c>
      <c r="I19" s="22"/>
      <c r="J19" s="22"/>
      <c r="K19" s="22"/>
      <c r="L19" s="6" t="s">
        <v>192</v>
      </c>
      <c r="M19" s="6" t="s">
        <v>193</v>
      </c>
      <c r="N19" s="6" t="s">
        <v>194</v>
      </c>
      <c r="O19" s="6" t="s">
        <v>128</v>
      </c>
      <c r="P19" s="22"/>
      <c r="Q19" s="22"/>
    </row>
    <row r="20" spans="1:17" x14ac:dyDescent="0.15">
      <c r="A20" s="22"/>
      <c r="B20" s="6" t="s">
        <v>57</v>
      </c>
      <c r="C20" s="6" t="s">
        <v>195</v>
      </c>
      <c r="D20" s="6" t="s">
        <v>196</v>
      </c>
      <c r="E20" s="6" t="s">
        <v>197</v>
      </c>
      <c r="F20" s="6" t="s">
        <v>198</v>
      </c>
      <c r="G20" s="6" t="s">
        <v>199</v>
      </c>
      <c r="H20" s="6" t="s">
        <v>124</v>
      </c>
      <c r="I20" s="22"/>
      <c r="J20" s="22"/>
      <c r="K20" s="22"/>
      <c r="L20" s="6" t="s">
        <v>200</v>
      </c>
      <c r="M20" s="6" t="s">
        <v>201</v>
      </c>
      <c r="N20" s="6" t="s">
        <v>202</v>
      </c>
      <c r="O20" s="6" t="s">
        <v>112</v>
      </c>
      <c r="P20" s="22"/>
      <c r="Q20" s="22"/>
    </row>
    <row r="21" spans="1:17" x14ac:dyDescent="0.15">
      <c r="A21" s="6" t="s">
        <v>203</v>
      </c>
      <c r="B21" s="6" t="s">
        <v>55</v>
      </c>
      <c r="C21" s="6" t="s">
        <v>125</v>
      </c>
      <c r="D21" s="6" t="s">
        <v>204</v>
      </c>
      <c r="E21" s="6" t="s">
        <v>205</v>
      </c>
      <c r="F21" s="6" t="s">
        <v>206</v>
      </c>
      <c r="G21" s="6" t="s">
        <v>207</v>
      </c>
      <c r="H21" s="6" t="s">
        <v>129</v>
      </c>
      <c r="I21" s="22"/>
      <c r="J21" s="22"/>
      <c r="K21" s="22"/>
      <c r="L21" s="6" t="s">
        <v>208</v>
      </c>
      <c r="M21" s="6" t="s">
        <v>209</v>
      </c>
      <c r="N21" s="6" t="s">
        <v>210</v>
      </c>
      <c r="O21" s="6" t="s">
        <v>211</v>
      </c>
      <c r="P21" s="6" t="s">
        <v>212</v>
      </c>
      <c r="Q21" s="6" t="s">
        <v>128</v>
      </c>
    </row>
    <row r="22" spans="1:17" x14ac:dyDescent="0.15">
      <c r="A22" s="22"/>
      <c r="B22" s="6" t="s">
        <v>56</v>
      </c>
      <c r="C22" s="6" t="s">
        <v>213</v>
      </c>
      <c r="D22" s="6" t="s">
        <v>214</v>
      </c>
      <c r="E22" s="6" t="s">
        <v>215</v>
      </c>
      <c r="F22" s="6" t="s">
        <v>216</v>
      </c>
      <c r="G22" s="6" t="s">
        <v>217</v>
      </c>
      <c r="H22" s="6" t="s">
        <v>218</v>
      </c>
      <c r="I22" s="22"/>
      <c r="J22" s="22"/>
      <c r="K22" s="22"/>
      <c r="L22" s="6" t="s">
        <v>219</v>
      </c>
      <c r="M22" s="6" t="s">
        <v>220</v>
      </c>
      <c r="N22" s="6" t="s">
        <v>221</v>
      </c>
      <c r="O22" s="6" t="s">
        <v>135</v>
      </c>
      <c r="P22" s="22"/>
      <c r="Q22" s="22"/>
    </row>
    <row r="23" spans="1:17" x14ac:dyDescent="0.15">
      <c r="A23" s="22"/>
      <c r="B23" s="6" t="s">
        <v>57</v>
      </c>
      <c r="C23" s="6" t="s">
        <v>222</v>
      </c>
      <c r="D23" s="6" t="s">
        <v>223</v>
      </c>
      <c r="E23" s="6" t="s">
        <v>224</v>
      </c>
      <c r="F23" s="6" t="s">
        <v>225</v>
      </c>
      <c r="G23" s="6" t="s">
        <v>126</v>
      </c>
      <c r="H23" s="6" t="s">
        <v>226</v>
      </c>
      <c r="I23" s="22"/>
      <c r="J23" s="22"/>
      <c r="K23" s="22"/>
      <c r="L23" s="6" t="s">
        <v>227</v>
      </c>
      <c r="M23" s="6" t="s">
        <v>228</v>
      </c>
      <c r="N23" s="6" t="s">
        <v>229</v>
      </c>
      <c r="O23" s="6" t="s">
        <v>230</v>
      </c>
      <c r="P23" s="22"/>
      <c r="Q23" s="22"/>
    </row>
    <row r="24" spans="1:17" x14ac:dyDescent="0.15">
      <c r="A24" s="6" t="s">
        <v>231</v>
      </c>
      <c r="B24" s="6" t="s">
        <v>55</v>
      </c>
      <c r="C24" s="6" t="s">
        <v>232</v>
      </c>
      <c r="D24" s="6" t="s">
        <v>233</v>
      </c>
      <c r="E24" s="6" t="s">
        <v>234</v>
      </c>
      <c r="F24" s="6" t="s">
        <v>235</v>
      </c>
      <c r="G24" s="6" t="s">
        <v>236</v>
      </c>
      <c r="H24" s="6" t="s">
        <v>123</v>
      </c>
      <c r="I24" s="22"/>
      <c r="J24" s="22"/>
      <c r="K24" s="22"/>
      <c r="L24" s="6" t="s">
        <v>237</v>
      </c>
      <c r="M24" s="6" t="s">
        <v>238</v>
      </c>
      <c r="N24" s="6" t="s">
        <v>239</v>
      </c>
      <c r="O24" s="6" t="s">
        <v>240</v>
      </c>
      <c r="P24" s="6" t="s">
        <v>241</v>
      </c>
      <c r="Q24" s="6" t="s">
        <v>128</v>
      </c>
    </row>
    <row r="25" spans="1:17" x14ac:dyDescent="0.15">
      <c r="A25" s="22"/>
      <c r="B25" s="6" t="s">
        <v>56</v>
      </c>
      <c r="C25" s="6" t="s">
        <v>242</v>
      </c>
      <c r="D25" s="6" t="s">
        <v>243</v>
      </c>
      <c r="E25" s="6" t="s">
        <v>244</v>
      </c>
      <c r="F25" s="6" t="s">
        <v>245</v>
      </c>
      <c r="G25" s="6" t="s">
        <v>246</v>
      </c>
      <c r="H25" s="6" t="s">
        <v>134</v>
      </c>
      <c r="I25" s="22"/>
      <c r="J25" s="22"/>
      <c r="K25" s="22"/>
      <c r="L25" s="6" t="s">
        <v>247</v>
      </c>
      <c r="M25" s="6" t="s">
        <v>248</v>
      </c>
      <c r="N25" s="6" t="s">
        <v>249</v>
      </c>
      <c r="O25" s="6" t="s">
        <v>250</v>
      </c>
      <c r="P25" s="22"/>
      <c r="Q25" s="22"/>
    </row>
    <row r="26" spans="1:17" x14ac:dyDescent="0.15">
      <c r="A26" s="22"/>
      <c r="B26" s="6" t="s">
        <v>57</v>
      </c>
      <c r="C26" s="6" t="s">
        <v>251</v>
      </c>
      <c r="D26" s="6" t="s">
        <v>252</v>
      </c>
      <c r="E26" s="6" t="s">
        <v>253</v>
      </c>
      <c r="F26" s="6" t="s">
        <v>254</v>
      </c>
      <c r="G26" s="6" t="s">
        <v>255</v>
      </c>
      <c r="H26" s="6" t="s">
        <v>136</v>
      </c>
      <c r="I26" s="22"/>
      <c r="J26" s="22"/>
      <c r="K26" s="22"/>
      <c r="L26" s="6" t="s">
        <v>256</v>
      </c>
      <c r="M26" s="6" t="s">
        <v>257</v>
      </c>
      <c r="N26" s="6" t="s">
        <v>258</v>
      </c>
      <c r="O26" s="6" t="s">
        <v>259</v>
      </c>
      <c r="P26" s="22"/>
      <c r="Q26" s="22"/>
    </row>
    <row r="27" spans="1:17" x14ac:dyDescent="0.15">
      <c r="A27" s="6" t="s">
        <v>130</v>
      </c>
      <c r="B27" s="6" t="s">
        <v>55</v>
      </c>
      <c r="C27" s="6" t="s">
        <v>260</v>
      </c>
      <c r="D27" s="6" t="s">
        <v>261</v>
      </c>
      <c r="E27" s="6" t="s">
        <v>262</v>
      </c>
      <c r="F27" s="6" t="s">
        <v>263</v>
      </c>
      <c r="G27" s="6" t="s">
        <v>264</v>
      </c>
      <c r="H27" s="6" t="s">
        <v>265</v>
      </c>
      <c r="I27" s="22"/>
      <c r="J27" s="22"/>
      <c r="K27" s="22"/>
      <c r="L27" s="6" t="s">
        <v>266</v>
      </c>
      <c r="M27" s="6" t="s">
        <v>267</v>
      </c>
      <c r="N27" s="6" t="s">
        <v>268</v>
      </c>
      <c r="O27" s="6" t="s">
        <v>269</v>
      </c>
      <c r="P27" s="6" t="s">
        <v>270</v>
      </c>
      <c r="Q27" s="6" t="s">
        <v>128</v>
      </c>
    </row>
    <row r="28" spans="1:17" x14ac:dyDescent="0.15">
      <c r="A28" s="22"/>
      <c r="B28" s="6" t="s">
        <v>56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22"/>
      <c r="J28" s="22"/>
      <c r="K28" s="22"/>
      <c r="L28" s="6" t="s">
        <v>277</v>
      </c>
      <c r="M28" s="6" t="s">
        <v>278</v>
      </c>
      <c r="N28" s="6" t="s">
        <v>279</v>
      </c>
      <c r="O28" s="6" t="s">
        <v>280</v>
      </c>
      <c r="P28" s="22"/>
      <c r="Q28" s="22"/>
    </row>
    <row r="29" spans="1:17" x14ac:dyDescent="0.15">
      <c r="A29" s="22"/>
      <c r="B29" s="6" t="s">
        <v>57</v>
      </c>
      <c r="C29" s="6" t="s">
        <v>281</v>
      </c>
      <c r="D29" s="6" t="s">
        <v>282</v>
      </c>
      <c r="E29" s="6" t="s">
        <v>283</v>
      </c>
      <c r="F29" s="6" t="s">
        <v>284</v>
      </c>
      <c r="G29" s="6" t="s">
        <v>285</v>
      </c>
      <c r="H29" s="6" t="s">
        <v>286</v>
      </c>
      <c r="I29" s="22"/>
      <c r="J29" s="22"/>
      <c r="K29" s="22"/>
      <c r="L29" s="6" t="s">
        <v>287</v>
      </c>
      <c r="M29" s="6" t="s">
        <v>288</v>
      </c>
      <c r="N29" s="6" t="s">
        <v>289</v>
      </c>
      <c r="O29" s="6" t="s">
        <v>290</v>
      </c>
      <c r="P29" s="22"/>
      <c r="Q29" s="22"/>
    </row>
    <row r="30" spans="1:17" x14ac:dyDescent="0.15">
      <c r="A30" s="6" t="s">
        <v>291</v>
      </c>
      <c r="B30" s="6" t="s">
        <v>55</v>
      </c>
      <c r="C30" s="6" t="s">
        <v>292</v>
      </c>
      <c r="D30" s="6" t="s">
        <v>293</v>
      </c>
      <c r="E30" s="6" t="s">
        <v>294</v>
      </c>
      <c r="F30" s="6" t="s">
        <v>295</v>
      </c>
      <c r="G30" s="6" t="s">
        <v>296</v>
      </c>
      <c r="H30" s="6" t="s">
        <v>297</v>
      </c>
      <c r="I30" s="22"/>
      <c r="J30" s="22"/>
      <c r="K30" s="22"/>
      <c r="L30" s="6" t="s">
        <v>298</v>
      </c>
      <c r="M30" s="6" t="s">
        <v>299</v>
      </c>
      <c r="N30" s="6" t="s">
        <v>300</v>
      </c>
      <c r="O30" s="6" t="s">
        <v>301</v>
      </c>
      <c r="P30" s="6" t="s">
        <v>302</v>
      </c>
      <c r="Q30" s="6" t="s">
        <v>303</v>
      </c>
    </row>
    <row r="31" spans="1:17" x14ac:dyDescent="0.15">
      <c r="A31" s="22"/>
      <c r="B31" s="6" t="s">
        <v>56</v>
      </c>
      <c r="C31" s="6" t="s">
        <v>304</v>
      </c>
      <c r="D31" s="6" t="s">
        <v>305</v>
      </c>
      <c r="E31" s="6" t="s">
        <v>306</v>
      </c>
      <c r="F31" s="6" t="s">
        <v>307</v>
      </c>
      <c r="G31" s="6" t="s">
        <v>308</v>
      </c>
      <c r="H31" s="6" t="s">
        <v>122</v>
      </c>
      <c r="I31" s="22"/>
      <c r="J31" s="22"/>
      <c r="K31" s="22"/>
      <c r="L31" s="6" t="s">
        <v>309</v>
      </c>
      <c r="M31" s="6" t="s">
        <v>310</v>
      </c>
      <c r="N31" s="6" t="s">
        <v>311</v>
      </c>
      <c r="O31" s="6" t="s">
        <v>312</v>
      </c>
      <c r="P31" s="22"/>
      <c r="Q31" s="22"/>
    </row>
    <row r="32" spans="1:17" x14ac:dyDescent="0.15">
      <c r="A32" s="22"/>
      <c r="B32" s="6" t="s">
        <v>57</v>
      </c>
      <c r="C32" s="6" t="s">
        <v>313</v>
      </c>
      <c r="D32" s="6" t="s">
        <v>314</v>
      </c>
      <c r="E32" s="6" t="s">
        <v>315</v>
      </c>
      <c r="F32" s="6" t="s">
        <v>316</v>
      </c>
      <c r="G32" s="6" t="s">
        <v>317</v>
      </c>
      <c r="H32" s="6" t="s">
        <v>318</v>
      </c>
      <c r="I32" s="22"/>
      <c r="J32" s="22"/>
      <c r="K32" s="22"/>
      <c r="L32" s="6" t="s">
        <v>319</v>
      </c>
      <c r="M32" s="6" t="s">
        <v>320</v>
      </c>
      <c r="N32" s="6" t="s">
        <v>321</v>
      </c>
      <c r="O32" s="6" t="s">
        <v>131</v>
      </c>
      <c r="P32" s="22"/>
      <c r="Q32" s="22"/>
    </row>
    <row r="33" spans="1:17" x14ac:dyDescent="0.15">
      <c r="A33" s="6" t="s">
        <v>113</v>
      </c>
      <c r="B33" s="6" t="s">
        <v>55</v>
      </c>
      <c r="C33" s="6" t="s">
        <v>322</v>
      </c>
      <c r="D33" s="6" t="s">
        <v>323</v>
      </c>
      <c r="E33" s="6" t="s">
        <v>324</v>
      </c>
      <c r="F33" s="6" t="s">
        <v>325</v>
      </c>
      <c r="G33" s="6" t="s">
        <v>326</v>
      </c>
      <c r="H33" s="6" t="s">
        <v>327</v>
      </c>
      <c r="I33" s="22"/>
      <c r="J33" s="22"/>
      <c r="K33" s="22"/>
      <c r="L33" s="6" t="s">
        <v>328</v>
      </c>
      <c r="M33" s="6" t="s">
        <v>329</v>
      </c>
      <c r="N33" s="6" t="s">
        <v>330</v>
      </c>
      <c r="O33" s="6" t="s">
        <v>331</v>
      </c>
      <c r="P33" s="6" t="s">
        <v>332</v>
      </c>
      <c r="Q33" s="6" t="s">
        <v>333</v>
      </c>
    </row>
    <row r="34" spans="1:17" x14ac:dyDescent="0.15">
      <c r="A34" s="22"/>
      <c r="B34" s="6" t="s">
        <v>56</v>
      </c>
      <c r="C34" s="6" t="s">
        <v>334</v>
      </c>
      <c r="D34" s="6" t="s">
        <v>335</v>
      </c>
      <c r="E34" s="6" t="s">
        <v>336</v>
      </c>
      <c r="F34" s="6" t="s">
        <v>337</v>
      </c>
      <c r="G34" s="6" t="s">
        <v>338</v>
      </c>
      <c r="H34" s="6" t="s">
        <v>327</v>
      </c>
      <c r="I34" s="22"/>
      <c r="J34" s="22"/>
      <c r="K34" s="22"/>
      <c r="L34" s="6" t="s">
        <v>339</v>
      </c>
      <c r="M34" s="6" t="s">
        <v>340</v>
      </c>
      <c r="N34" s="6" t="s">
        <v>341</v>
      </c>
      <c r="O34" s="6" t="s">
        <v>342</v>
      </c>
      <c r="P34" s="22"/>
      <c r="Q34" s="22"/>
    </row>
    <row r="35" spans="1:17" x14ac:dyDescent="0.15">
      <c r="A35" s="22"/>
      <c r="B35" s="6" t="s">
        <v>57</v>
      </c>
      <c r="C35" s="6" t="s">
        <v>343</v>
      </c>
      <c r="D35" s="6" t="s">
        <v>344</v>
      </c>
      <c r="E35" s="6" t="s">
        <v>345</v>
      </c>
      <c r="F35" s="6" t="s">
        <v>344</v>
      </c>
      <c r="G35" s="6" t="s">
        <v>346</v>
      </c>
      <c r="H35" s="6" t="s">
        <v>327</v>
      </c>
      <c r="I35" s="22"/>
      <c r="J35" s="22"/>
      <c r="K35" s="22"/>
      <c r="L35" s="6" t="s">
        <v>347</v>
      </c>
      <c r="M35" s="6" t="s">
        <v>348</v>
      </c>
      <c r="N35" s="6" t="s">
        <v>349</v>
      </c>
      <c r="O35" s="6" t="s">
        <v>350</v>
      </c>
      <c r="P35" s="22"/>
      <c r="Q35" s="22"/>
    </row>
    <row r="36" spans="1:17" x14ac:dyDescent="0.15">
      <c r="A36" s="6" t="s">
        <v>351</v>
      </c>
      <c r="B36" s="6" t="s">
        <v>55</v>
      </c>
      <c r="C36" s="6" t="s">
        <v>352</v>
      </c>
      <c r="D36" s="6" t="s">
        <v>353</v>
      </c>
      <c r="E36" s="6" t="s">
        <v>354</v>
      </c>
      <c r="F36" s="6" t="s">
        <v>355</v>
      </c>
      <c r="G36" s="6" t="s">
        <v>356</v>
      </c>
      <c r="H36" s="6" t="s">
        <v>121</v>
      </c>
      <c r="I36" s="22"/>
      <c r="J36" s="22"/>
      <c r="K36" s="22"/>
      <c r="L36" s="6" t="s">
        <v>357</v>
      </c>
      <c r="M36" s="6" t="s">
        <v>358</v>
      </c>
      <c r="N36" s="6" t="s">
        <v>359</v>
      </c>
      <c r="O36" s="6" t="s">
        <v>360</v>
      </c>
      <c r="P36" s="6" t="s">
        <v>361</v>
      </c>
      <c r="Q36" s="6" t="s">
        <v>362</v>
      </c>
    </row>
    <row r="37" spans="1:17" x14ac:dyDescent="0.15">
      <c r="A37" s="22"/>
      <c r="B37" s="6" t="s">
        <v>56</v>
      </c>
      <c r="C37" s="6" t="s">
        <v>363</v>
      </c>
      <c r="D37" s="6" t="s">
        <v>364</v>
      </c>
      <c r="E37" s="6" t="s">
        <v>365</v>
      </c>
      <c r="F37" s="6" t="s">
        <v>366</v>
      </c>
      <c r="G37" s="6" t="s">
        <v>367</v>
      </c>
      <c r="H37" s="6" t="s">
        <v>121</v>
      </c>
      <c r="I37" s="22"/>
      <c r="J37" s="22"/>
      <c r="K37" s="22"/>
      <c r="L37" s="6" t="s">
        <v>368</v>
      </c>
      <c r="M37" s="6" t="s">
        <v>369</v>
      </c>
      <c r="N37" s="6" t="s">
        <v>370</v>
      </c>
      <c r="O37" s="6" t="s">
        <v>371</v>
      </c>
      <c r="P37" s="22"/>
      <c r="Q37" s="22"/>
    </row>
    <row r="38" spans="1:17" x14ac:dyDescent="0.15">
      <c r="A38" s="22"/>
      <c r="B38" s="6" t="s">
        <v>57</v>
      </c>
      <c r="C38" s="6" t="s">
        <v>372</v>
      </c>
      <c r="D38" s="6" t="s">
        <v>373</v>
      </c>
      <c r="E38" s="6" t="s">
        <v>374</v>
      </c>
      <c r="F38" s="6" t="s">
        <v>375</v>
      </c>
      <c r="G38" s="6" t="s">
        <v>356</v>
      </c>
      <c r="H38" s="6" t="s">
        <v>376</v>
      </c>
      <c r="I38" s="22"/>
      <c r="J38" s="22"/>
      <c r="K38" s="22"/>
      <c r="L38" s="6" t="s">
        <v>377</v>
      </c>
      <c r="M38" s="6" t="s">
        <v>378</v>
      </c>
      <c r="N38" s="6" t="s">
        <v>379</v>
      </c>
      <c r="O38" s="6" t="s">
        <v>380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104</v>
      </c>
      <c r="I2" s="22"/>
      <c r="J2" s="22"/>
      <c r="K2" s="22"/>
      <c r="L2" s="22"/>
      <c r="M2" s="22"/>
      <c r="N2" s="22"/>
      <c r="O2" s="6" t="s">
        <v>3</v>
      </c>
      <c r="P2" s="6" t="s">
        <v>105</v>
      </c>
      <c r="Q2" s="22"/>
    </row>
    <row r="3" spans="1:17" ht="14.25" customHeight="1" x14ac:dyDescent="0.15">
      <c r="A3" s="6" t="s">
        <v>4</v>
      </c>
      <c r="B3" s="6" t="s">
        <v>106</v>
      </c>
      <c r="C3" s="22"/>
      <c r="D3" s="22"/>
      <c r="E3" s="22"/>
      <c r="F3" s="22"/>
      <c r="G3" s="6" t="s">
        <v>5</v>
      </c>
      <c r="H3" s="6" t="s">
        <v>137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107</v>
      </c>
      <c r="C4" s="22"/>
      <c r="D4" s="22"/>
      <c r="E4" s="22"/>
      <c r="F4" s="22"/>
      <c r="G4" s="6" t="s">
        <v>9</v>
      </c>
      <c r="H4" s="6" t="s">
        <v>382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109</v>
      </c>
      <c r="C5" s="22"/>
      <c r="D5" s="22"/>
      <c r="E5" s="22"/>
      <c r="F5" s="22"/>
      <c r="G5" s="6" t="s">
        <v>13</v>
      </c>
      <c r="H5" s="6" t="s">
        <v>138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110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383</v>
      </c>
      <c r="C8" s="22"/>
      <c r="D8" s="6" t="s">
        <v>26</v>
      </c>
      <c r="E8" s="6" t="s">
        <v>384</v>
      </c>
      <c r="F8" s="22"/>
      <c r="G8" s="6" t="s">
        <v>27</v>
      </c>
      <c r="H8" s="6" t="s">
        <v>106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385</v>
      </c>
      <c r="B15" s="6" t="s">
        <v>55</v>
      </c>
      <c r="C15" s="6" t="s">
        <v>386</v>
      </c>
      <c r="D15" s="6" t="s">
        <v>387</v>
      </c>
      <c r="E15" s="6" t="s">
        <v>388</v>
      </c>
      <c r="F15" s="6" t="s">
        <v>389</v>
      </c>
      <c r="G15" s="6" t="s">
        <v>390</v>
      </c>
      <c r="H15" s="6" t="s">
        <v>391</v>
      </c>
      <c r="I15" s="22"/>
      <c r="J15" s="22"/>
      <c r="K15" s="22"/>
      <c r="L15" s="6" t="s">
        <v>392</v>
      </c>
      <c r="M15" s="6" t="s">
        <v>393</v>
      </c>
      <c r="N15" s="6" t="s">
        <v>394</v>
      </c>
      <c r="O15" s="6" t="s">
        <v>395</v>
      </c>
      <c r="P15" s="6" t="s">
        <v>396</v>
      </c>
      <c r="Q15" s="6" t="s">
        <v>397</v>
      </c>
    </row>
    <row r="16" spans="1:17" ht="14.25" customHeight="1" x14ac:dyDescent="0.15">
      <c r="A16" s="22"/>
      <c r="B16" s="6" t="s">
        <v>56</v>
      </c>
      <c r="C16" s="6" t="s">
        <v>398</v>
      </c>
      <c r="D16" s="6" t="s">
        <v>399</v>
      </c>
      <c r="E16" s="6" t="s">
        <v>400</v>
      </c>
      <c r="F16" s="6" t="s">
        <v>401</v>
      </c>
      <c r="G16" s="6" t="s">
        <v>402</v>
      </c>
      <c r="H16" s="6" t="s">
        <v>180</v>
      </c>
      <c r="I16" s="22"/>
      <c r="J16" s="22"/>
      <c r="K16" s="22"/>
      <c r="L16" s="6" t="s">
        <v>403</v>
      </c>
      <c r="M16" s="6" t="s">
        <v>404</v>
      </c>
      <c r="N16" s="6" t="s">
        <v>405</v>
      </c>
      <c r="O16" s="6" t="s">
        <v>406</v>
      </c>
      <c r="P16" s="22"/>
      <c r="Q16" s="22"/>
    </row>
    <row r="17" spans="1:17" ht="14.25" customHeight="1" x14ac:dyDescent="0.15">
      <c r="A17" s="22"/>
      <c r="B17" s="6" t="s">
        <v>57</v>
      </c>
      <c r="C17" s="6" t="s">
        <v>407</v>
      </c>
      <c r="D17" s="6" t="s">
        <v>408</v>
      </c>
      <c r="E17" s="6" t="s">
        <v>409</v>
      </c>
      <c r="F17" s="6" t="s">
        <v>410</v>
      </c>
      <c r="G17" s="6" t="s">
        <v>402</v>
      </c>
      <c r="H17" s="6" t="s">
        <v>180</v>
      </c>
      <c r="I17" s="22"/>
      <c r="J17" s="22"/>
      <c r="K17" s="22"/>
      <c r="L17" s="6" t="s">
        <v>411</v>
      </c>
      <c r="M17" s="6" t="s">
        <v>412</v>
      </c>
      <c r="N17" s="6" t="s">
        <v>413</v>
      </c>
      <c r="O17" s="6" t="s">
        <v>414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6" zoomScale="110" zoomScaleNormal="110" workbookViewId="0">
      <selection activeCell="J88" sqref="J88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79" t="s">
        <v>102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67" t="s">
        <v>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60</v>
      </c>
      <c r="C4" s="48" t="str">
        <f>初始!B3</f>
        <v>涡街流量计</v>
      </c>
      <c r="D4" s="48"/>
      <c r="E4" s="48"/>
      <c r="F4" s="48"/>
      <c r="G4" s="48"/>
      <c r="H4" s="48"/>
      <c r="I4" s="46" t="s">
        <v>63</v>
      </c>
      <c r="J4" s="62"/>
      <c r="K4" s="48" t="s">
        <v>415</v>
      </c>
      <c r="L4" s="48"/>
      <c r="M4" s="4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61</v>
      </c>
      <c r="C5" s="83" t="str">
        <f>初始!H2</f>
        <v>LUGB 015YDMEJCX2BB-401N15NN4</v>
      </c>
      <c r="D5" s="83"/>
      <c r="E5" s="83"/>
      <c r="F5" s="83"/>
      <c r="G5" s="83"/>
      <c r="H5" s="83"/>
      <c r="I5" s="46" t="s">
        <v>64</v>
      </c>
      <c r="J5" s="62"/>
      <c r="K5" s="51" t="str">
        <f>初始!B4</f>
        <v>上海自仪海莱特流量仪表有限公司</v>
      </c>
      <c r="L5" s="51"/>
      <c r="M5" s="5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62</v>
      </c>
      <c r="C6" s="51" t="str">
        <f>初始!H3</f>
        <v>2026010023</v>
      </c>
      <c r="D6" s="51"/>
      <c r="E6" s="51"/>
      <c r="F6" s="51"/>
      <c r="G6" s="51"/>
      <c r="H6" s="51"/>
      <c r="I6" s="46" t="s">
        <v>65</v>
      </c>
      <c r="J6" s="47"/>
      <c r="K6" s="14" t="str">
        <f>初始!B6</f>
        <v>(20-21)℃</v>
      </c>
      <c r="L6" s="16" t="s">
        <v>66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67</v>
      </c>
      <c r="C7" s="48" t="s">
        <v>116</v>
      </c>
      <c r="D7" s="48"/>
      <c r="E7" s="48"/>
      <c r="F7" s="48"/>
      <c r="G7" s="46" t="s">
        <v>59</v>
      </c>
      <c r="H7" s="62"/>
      <c r="I7" s="48" t="str">
        <f>SUBSTITUTE(初始!H4,"m^3","m³")</f>
        <v xml:space="preserve"> ( 3.2～32 )m³/h</v>
      </c>
      <c r="J7" s="48"/>
      <c r="K7" s="49"/>
      <c r="L7" s="49"/>
      <c r="M7" s="4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68</v>
      </c>
      <c r="C8" s="48" t="s">
        <v>71</v>
      </c>
      <c r="D8" s="48"/>
      <c r="E8" s="48"/>
      <c r="F8" s="48"/>
      <c r="G8" s="48"/>
      <c r="H8" s="48"/>
      <c r="I8" s="48"/>
      <c r="J8" s="16" t="s">
        <v>72</v>
      </c>
      <c r="K8" s="48" t="s">
        <v>381</v>
      </c>
      <c r="L8" s="48"/>
      <c r="M8" s="4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69</v>
      </c>
      <c r="C9" s="77">
        <v>1</v>
      </c>
      <c r="D9" s="77"/>
      <c r="E9" s="77"/>
      <c r="F9" s="5" t="s">
        <v>70</v>
      </c>
      <c r="G9" s="50"/>
      <c r="H9" s="50"/>
      <c r="I9" s="50"/>
      <c r="J9" s="50"/>
      <c r="K9" s="50"/>
      <c r="L9" s="50"/>
      <c r="M9" s="5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78</v>
      </c>
      <c r="C10" s="76" t="s">
        <v>115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114</v>
      </c>
      <c r="C11" s="76" t="s">
        <v>73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75</v>
      </c>
      <c r="C12" s="76" t="s">
        <v>73</v>
      </c>
      <c r="D12" s="70"/>
      <c r="E12" s="70"/>
      <c r="F12" s="21" t="s">
        <v>79</v>
      </c>
      <c r="G12" s="4"/>
      <c r="H12" s="4"/>
      <c r="I12" s="9">
        <v>2.5</v>
      </c>
      <c r="J12" s="4" t="s">
        <v>77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76</v>
      </c>
      <c r="C13" s="60" t="str">
        <f>初始!H5</f>
        <v>340.673 1/L</v>
      </c>
      <c r="D13" s="60"/>
      <c r="E13" s="60"/>
      <c r="F13" s="60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84</v>
      </c>
      <c r="C14" s="48" t="s">
        <v>81</v>
      </c>
      <c r="D14" s="48"/>
      <c r="E14" s="12" t="str">
        <f>初始!A15</f>
        <v>32</v>
      </c>
      <c r="F14" s="4" t="s">
        <v>74</v>
      </c>
      <c r="G14" s="48" t="s">
        <v>82</v>
      </c>
      <c r="H14" s="48"/>
      <c r="I14" s="12" t="str">
        <f>初始!A33</f>
        <v>3.2</v>
      </c>
      <c r="J14" s="4" t="s">
        <v>74</v>
      </c>
      <c r="K14" s="13" t="s">
        <v>83</v>
      </c>
      <c r="L14" s="12" t="str">
        <f>初始!A27</f>
        <v>6.4</v>
      </c>
      <c r="M14" s="4" t="s">
        <v>74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73" t="s">
        <v>89</v>
      </c>
      <c r="C15" s="28" t="s">
        <v>88</v>
      </c>
      <c r="D15" s="35"/>
      <c r="E15" s="53" t="s">
        <v>91</v>
      </c>
      <c r="F15" s="54"/>
      <c r="G15" s="53" t="s">
        <v>92</v>
      </c>
      <c r="H15" s="54"/>
      <c r="I15" s="40" t="s">
        <v>93</v>
      </c>
      <c r="J15" s="73" t="s">
        <v>98</v>
      </c>
      <c r="K15" s="40" t="s">
        <v>94</v>
      </c>
      <c r="L15" s="28" t="s">
        <v>117</v>
      </c>
      <c r="M15" s="2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74"/>
      <c r="C16" s="36"/>
      <c r="D16" s="37"/>
      <c r="E16" s="55"/>
      <c r="F16" s="56"/>
      <c r="G16" s="55"/>
      <c r="H16" s="56"/>
      <c r="I16" s="72"/>
      <c r="J16" s="74"/>
      <c r="K16" s="72"/>
      <c r="L16" s="30"/>
      <c r="M16" s="3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74"/>
      <c r="C17" s="36"/>
      <c r="D17" s="37"/>
      <c r="E17" s="57"/>
      <c r="F17" s="58"/>
      <c r="G17" s="57"/>
      <c r="H17" s="58"/>
      <c r="I17" s="72"/>
      <c r="J17" s="75"/>
      <c r="K17" s="72"/>
      <c r="L17" s="30"/>
      <c r="M17" s="3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75"/>
      <c r="C18" s="38"/>
      <c r="D18" s="39"/>
      <c r="E18" s="40" t="s">
        <v>90</v>
      </c>
      <c r="F18" s="40"/>
      <c r="G18" s="40" t="s">
        <v>90</v>
      </c>
      <c r="H18" s="40"/>
      <c r="I18" s="10" t="s">
        <v>95</v>
      </c>
      <c r="J18" s="10" t="s">
        <v>99</v>
      </c>
      <c r="K18" s="10" t="s">
        <v>95</v>
      </c>
      <c r="L18" s="32"/>
      <c r="M18" s="3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41" t="s">
        <v>96</v>
      </c>
      <c r="C19" s="40">
        <v>1</v>
      </c>
      <c r="D19" s="40"/>
      <c r="E19" s="45" t="str">
        <f>初始!N15</f>
        <v>389.831</v>
      </c>
      <c r="F19" s="45"/>
      <c r="G19" s="44" t="str">
        <f>初始!F15</f>
        <v>388.805</v>
      </c>
      <c r="H19" s="44"/>
      <c r="I19" s="15">
        <f>(E19-G19)/G19*100</f>
        <v>0.26388549529970307</v>
      </c>
      <c r="J19" s="24">
        <f>AVERAGE(I19:I24)</f>
        <v>0.16236137370339143</v>
      </c>
      <c r="K19" s="24">
        <f>STDEV(I19:I24)</f>
        <v>0.13199427488585383</v>
      </c>
      <c r="L19" s="34" t="s">
        <v>118</v>
      </c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42"/>
      <c r="C20" s="40">
        <v>2</v>
      </c>
      <c r="D20" s="40"/>
      <c r="E20" s="45" t="str">
        <f>初始!N16</f>
        <v>387.750</v>
      </c>
      <c r="F20" s="45"/>
      <c r="G20" s="44" t="str">
        <f>初始!F16</f>
        <v>386.766</v>
      </c>
      <c r="H20" s="44"/>
      <c r="I20" s="20">
        <f t="shared" ref="I20:I39" si="0">(E20-G20)/G20*100</f>
        <v>0.25441739966801125</v>
      </c>
      <c r="J20" s="25"/>
      <c r="K20" s="25"/>
      <c r="L20" s="36"/>
      <c r="M20" s="3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42"/>
      <c r="C21" s="40">
        <v>3</v>
      </c>
      <c r="D21" s="40"/>
      <c r="E21" s="45" t="str">
        <f>初始!N17</f>
        <v>397.748</v>
      </c>
      <c r="F21" s="45"/>
      <c r="G21" s="44" t="str">
        <f>初始!F17</f>
        <v>396.502</v>
      </c>
      <c r="H21" s="44"/>
      <c r="I21" s="20">
        <f t="shared" si="0"/>
        <v>0.31424809963127071</v>
      </c>
      <c r="J21" s="25"/>
      <c r="K21" s="25"/>
      <c r="L21" s="36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42"/>
      <c r="C22" s="40">
        <v>4</v>
      </c>
      <c r="D22" s="40"/>
      <c r="E22" s="45" t="str">
        <f>初始!N18</f>
        <v>385.094</v>
      </c>
      <c r="F22" s="45"/>
      <c r="G22" s="44" t="str">
        <f>初始!F18</f>
        <v>385.132</v>
      </c>
      <c r="H22" s="44"/>
      <c r="I22" s="20">
        <f t="shared" si="0"/>
        <v>-9.8667469854519796E-3</v>
      </c>
      <c r="J22" s="25"/>
      <c r="K22" s="25"/>
      <c r="L22" s="36"/>
      <c r="M22" s="3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42"/>
      <c r="C23" s="40">
        <v>5</v>
      </c>
      <c r="D23" s="40"/>
      <c r="E23" s="45" t="str">
        <f>初始!N19</f>
        <v>391.534</v>
      </c>
      <c r="F23" s="45"/>
      <c r="G23" s="44" t="str">
        <f>初始!F19</f>
        <v>391.305</v>
      </c>
      <c r="H23" s="44"/>
      <c r="I23" s="20">
        <f t="shared" si="0"/>
        <v>5.8522124685343908E-2</v>
      </c>
      <c r="J23" s="25"/>
      <c r="K23" s="25"/>
      <c r="L23" s="36"/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43"/>
      <c r="C24" s="40">
        <v>6</v>
      </c>
      <c r="D24" s="40"/>
      <c r="E24" s="45" t="str">
        <f>初始!N20</f>
        <v>382.232</v>
      </c>
      <c r="F24" s="45"/>
      <c r="G24" s="44" t="str">
        <f>初始!F20</f>
        <v>381.877</v>
      </c>
      <c r="H24" s="44"/>
      <c r="I24" s="20">
        <f t="shared" si="0"/>
        <v>9.2961869921471624E-2</v>
      </c>
      <c r="J24" s="26"/>
      <c r="K24" s="26"/>
      <c r="L24" s="36"/>
      <c r="M24" s="3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41" t="s">
        <v>97</v>
      </c>
      <c r="C25" s="40">
        <v>1</v>
      </c>
      <c r="D25" s="40"/>
      <c r="E25" s="45" t="str">
        <f>初始!N21</f>
        <v>156.041</v>
      </c>
      <c r="F25" s="45"/>
      <c r="G25" s="44" t="str">
        <f>初始!F21</f>
        <v>155.359</v>
      </c>
      <c r="H25" s="44"/>
      <c r="I25" s="20">
        <f t="shared" si="0"/>
        <v>0.4389832581311594</v>
      </c>
      <c r="J25" s="24">
        <f>AVERAGE(I25:I30)</f>
        <v>0.36447874810393133</v>
      </c>
      <c r="K25" s="24">
        <f>STDEV(I25:I30)</f>
        <v>5.5587422667552705E-2</v>
      </c>
      <c r="L25" s="36"/>
      <c r="M25" s="3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42"/>
      <c r="C26" s="40">
        <v>2</v>
      </c>
      <c r="D26" s="40"/>
      <c r="E26" s="45" t="str">
        <f>初始!N22</f>
        <v>155.448</v>
      </c>
      <c r="F26" s="45"/>
      <c r="G26" s="44" t="str">
        <f>初始!F22</f>
        <v>154.912</v>
      </c>
      <c r="H26" s="44"/>
      <c r="I26" s="20">
        <f t="shared" si="0"/>
        <v>0.34600289196447104</v>
      </c>
      <c r="J26" s="25"/>
      <c r="K26" s="25"/>
      <c r="L26" s="36"/>
      <c r="M26" s="3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42"/>
      <c r="C27" s="40">
        <v>3</v>
      </c>
      <c r="D27" s="40"/>
      <c r="E27" s="45" t="str">
        <f>初始!N23</f>
        <v>156.628</v>
      </c>
      <c r="F27" s="45"/>
      <c r="G27" s="44" t="str">
        <f>初始!F23</f>
        <v>156.116</v>
      </c>
      <c r="H27" s="44"/>
      <c r="I27" s="20">
        <f t="shared" si="0"/>
        <v>0.3279612595761946</v>
      </c>
      <c r="J27" s="25"/>
      <c r="K27" s="25"/>
      <c r="L27" s="36"/>
      <c r="M27" s="3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42"/>
      <c r="C28" s="40">
        <v>4</v>
      </c>
      <c r="D28" s="40"/>
      <c r="E28" s="45" t="str">
        <f>初始!N24</f>
        <v>158.322</v>
      </c>
      <c r="F28" s="45"/>
      <c r="G28" s="44" t="str">
        <f>初始!F24</f>
        <v>157.861</v>
      </c>
      <c r="H28" s="44"/>
      <c r="I28" s="20">
        <f t="shared" si="0"/>
        <v>0.29202906354325181</v>
      </c>
      <c r="J28" s="25"/>
      <c r="K28" s="25"/>
      <c r="L28" s="36"/>
      <c r="M28" s="3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42"/>
      <c r="C29" s="40">
        <v>5</v>
      </c>
      <c r="D29" s="40"/>
      <c r="E29" s="45" t="str">
        <f>初始!N25</f>
        <v>157.459</v>
      </c>
      <c r="F29" s="45"/>
      <c r="G29" s="44" t="str">
        <f>初始!F25</f>
        <v>156.802</v>
      </c>
      <c r="H29" s="44"/>
      <c r="I29" s="20">
        <f t="shared" si="0"/>
        <v>0.41899975765615921</v>
      </c>
      <c r="J29" s="25"/>
      <c r="K29" s="25"/>
      <c r="L29" s="36"/>
      <c r="M29" s="3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43"/>
      <c r="C30" s="40">
        <v>6</v>
      </c>
      <c r="D30" s="40"/>
      <c r="E30" s="45" t="str">
        <f>初始!N26</f>
        <v>156.810</v>
      </c>
      <c r="F30" s="45"/>
      <c r="G30" s="44" t="str">
        <f>初始!F26</f>
        <v>156.243</v>
      </c>
      <c r="H30" s="44"/>
      <c r="I30" s="20">
        <f t="shared" si="0"/>
        <v>0.36289625775235196</v>
      </c>
      <c r="J30" s="26"/>
      <c r="K30" s="26"/>
      <c r="L30" s="36"/>
      <c r="M30" s="3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40" t="s">
        <v>83</v>
      </c>
      <c r="C31" s="40">
        <v>1</v>
      </c>
      <c r="D31" s="40"/>
      <c r="E31" s="45" t="str">
        <f>初始!N27</f>
        <v>80.8928</v>
      </c>
      <c r="F31" s="45"/>
      <c r="G31" s="44" t="str">
        <f>初始!F27</f>
        <v>80.6534</v>
      </c>
      <c r="H31" s="44"/>
      <c r="I31" s="20">
        <f t="shared" si="0"/>
        <v>0.29682567628889689</v>
      </c>
      <c r="J31" s="27">
        <f>AVERAGE(I31:I36)</f>
        <v>0.31871562444510187</v>
      </c>
      <c r="K31" s="27">
        <f>STDEV(I31:I36)</f>
        <v>0.1646114855764062</v>
      </c>
      <c r="L31" s="36"/>
      <c r="M31" s="3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40"/>
      <c r="C32" s="40">
        <v>2</v>
      </c>
      <c r="D32" s="40"/>
      <c r="E32" s="45" t="str">
        <f>初始!N28</f>
        <v>81.5415</v>
      </c>
      <c r="F32" s="45"/>
      <c r="G32" s="44" t="str">
        <f>初始!F28</f>
        <v>81.3129</v>
      </c>
      <c r="H32" s="44"/>
      <c r="I32" s="20">
        <f t="shared" si="0"/>
        <v>0.28113620348062873</v>
      </c>
      <c r="J32" s="27"/>
      <c r="K32" s="27"/>
      <c r="L32" s="36"/>
      <c r="M32" s="3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40"/>
      <c r="C33" s="40">
        <v>3</v>
      </c>
      <c r="D33" s="40"/>
      <c r="E33" s="45" t="str">
        <f>初始!N29</f>
        <v>82.4809</v>
      </c>
      <c r="F33" s="45"/>
      <c r="G33" s="44" t="str">
        <f>初始!F29</f>
        <v>82.3264</v>
      </c>
      <c r="H33" s="44"/>
      <c r="I33" s="20">
        <f t="shared" si="0"/>
        <v>0.18766762545185839</v>
      </c>
      <c r="J33" s="27"/>
      <c r="K33" s="27"/>
      <c r="L33" s="36"/>
      <c r="M33" s="3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40"/>
      <c r="C34" s="40">
        <v>4</v>
      </c>
      <c r="D34" s="40"/>
      <c r="E34" s="45" t="str">
        <f>初始!N30</f>
        <v>82.6306</v>
      </c>
      <c r="F34" s="45"/>
      <c r="G34" s="44" t="str">
        <f>初始!F30</f>
        <v>82.2516</v>
      </c>
      <c r="H34" s="44"/>
      <c r="I34" s="20">
        <f t="shared" si="0"/>
        <v>0.46078131002923339</v>
      </c>
      <c r="J34" s="27"/>
      <c r="K34" s="27"/>
      <c r="L34" s="36"/>
      <c r="M34" s="3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40"/>
      <c r="C35" s="40">
        <v>5</v>
      </c>
      <c r="D35" s="40"/>
      <c r="E35" s="45" t="str">
        <f>初始!N31</f>
        <v>82.1756</v>
      </c>
      <c r="F35" s="45"/>
      <c r="G35" s="44" t="str">
        <f>初始!F31</f>
        <v>81.7172</v>
      </c>
      <c r="H35" s="44"/>
      <c r="I35" s="20">
        <f t="shared" si="0"/>
        <v>0.56095901474842191</v>
      </c>
      <c r="J35" s="27"/>
      <c r="K35" s="27"/>
      <c r="L35" s="36"/>
      <c r="M35" s="3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40"/>
      <c r="C36" s="40">
        <v>6</v>
      </c>
      <c r="D36" s="40"/>
      <c r="E36" s="45" t="str">
        <f>初始!N32</f>
        <v>81.5914</v>
      </c>
      <c r="F36" s="45"/>
      <c r="G36" s="44" t="str">
        <f>初始!F32</f>
        <v>81.4896</v>
      </c>
      <c r="H36" s="44"/>
      <c r="I36" s="20">
        <f t="shared" si="0"/>
        <v>0.12492391667157188</v>
      </c>
      <c r="J36" s="27"/>
      <c r="K36" s="27"/>
      <c r="L36" s="36"/>
      <c r="M36" s="3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40" t="s">
        <v>82</v>
      </c>
      <c r="C37" s="40">
        <v>1</v>
      </c>
      <c r="D37" s="40"/>
      <c r="E37" s="45" t="str">
        <f>初始!N33</f>
        <v>40.4317</v>
      </c>
      <c r="F37" s="45"/>
      <c r="G37" s="44" t="str">
        <f>初始!F33</f>
        <v>40.9676</v>
      </c>
      <c r="H37" s="44"/>
      <c r="I37" s="20">
        <f>(E37-G37)/G37*100</f>
        <v>-1.3081068942286052</v>
      </c>
      <c r="J37" s="27">
        <f>AVERAGE(I37:I42)</f>
        <v>-1.3383157774919046</v>
      </c>
      <c r="K37" s="27">
        <f>STDEV(I37:I42)</f>
        <v>0.14998718392833649</v>
      </c>
      <c r="L37" s="36"/>
      <c r="M37" s="3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40"/>
      <c r="C38" s="40">
        <v>2</v>
      </c>
      <c r="D38" s="40"/>
      <c r="E38" s="45" t="str">
        <f>初始!N34</f>
        <v>40.0208</v>
      </c>
      <c r="F38" s="45"/>
      <c r="G38" s="44" t="str">
        <f>初始!F34</f>
        <v>40.6423</v>
      </c>
      <c r="H38" s="44"/>
      <c r="I38" s="20">
        <f t="shared" si="0"/>
        <v>-1.5291949520573331</v>
      </c>
      <c r="J38" s="27"/>
      <c r="K38" s="27"/>
      <c r="L38" s="36"/>
      <c r="M38" s="3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40"/>
      <c r="C39" s="40">
        <v>3</v>
      </c>
      <c r="D39" s="40"/>
      <c r="E39" s="45" t="str">
        <f>初始!N35</f>
        <v>40.1323</v>
      </c>
      <c r="F39" s="45"/>
      <c r="G39" s="44" t="str">
        <f>初始!F35</f>
        <v>40.6952</v>
      </c>
      <c r="H39" s="44"/>
      <c r="I39" s="20">
        <f t="shared" si="0"/>
        <v>-1.3832098134423694</v>
      </c>
      <c r="J39" s="27"/>
      <c r="K39" s="27"/>
      <c r="L39" s="36"/>
      <c r="M39" s="3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40"/>
      <c r="C40" s="40">
        <v>4</v>
      </c>
      <c r="D40" s="40"/>
      <c r="E40" s="45" t="str">
        <f>初始!N36</f>
        <v>41.2947</v>
      </c>
      <c r="F40" s="45"/>
      <c r="G40" s="44" t="str">
        <f>初始!F36</f>
        <v>41.7498</v>
      </c>
      <c r="H40" s="44"/>
      <c r="I40" s="20">
        <f t="shared" ref="I40" si="1">(E40-G40)/G40*100</f>
        <v>-1.0900651021082775</v>
      </c>
      <c r="J40" s="27"/>
      <c r="K40" s="27"/>
      <c r="L40" s="36"/>
      <c r="M40" s="3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40"/>
      <c r="C41" s="40">
        <v>5</v>
      </c>
      <c r="D41" s="40"/>
      <c r="E41" s="45" t="str">
        <f>初始!N37</f>
        <v>41.0129</v>
      </c>
      <c r="F41" s="45"/>
      <c r="G41" s="44" t="str">
        <f>初始!F37</f>
        <v>41.6089</v>
      </c>
      <c r="H41" s="44"/>
      <c r="I41" s="20">
        <f>(E41-G41)/G41*100</f>
        <v>-1.4323858597559573</v>
      </c>
      <c r="J41" s="27"/>
      <c r="K41" s="27"/>
      <c r="L41" s="36"/>
      <c r="M41" s="3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40"/>
      <c r="C42" s="40">
        <v>6</v>
      </c>
      <c r="D42" s="40"/>
      <c r="E42" s="45" t="str">
        <f>初始!N38</f>
        <v>41.0981</v>
      </c>
      <c r="F42" s="45"/>
      <c r="G42" s="44" t="str">
        <f>初始!F38</f>
        <v>41.6339</v>
      </c>
      <c r="H42" s="44"/>
      <c r="I42" s="20">
        <f>(E42-G42)/G42*100</f>
        <v>-1.2869320433588849</v>
      </c>
      <c r="J42" s="27"/>
      <c r="K42" s="27"/>
      <c r="L42" s="38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69" t="s">
        <v>85</v>
      </c>
      <c r="C47" s="70"/>
      <c r="D47" s="12"/>
      <c r="E47" s="12"/>
      <c r="F47" s="12"/>
      <c r="G47" s="69" t="s">
        <v>86</v>
      </c>
      <c r="H47" s="71"/>
      <c r="I47" s="12"/>
      <c r="J47" s="23" t="s">
        <v>416</v>
      </c>
      <c r="K47" s="84" t="s">
        <v>417</v>
      </c>
      <c r="L47" s="84"/>
      <c r="M47" s="8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3" t="s">
        <v>87</v>
      </c>
      <c r="M49" s="6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79" t="s">
        <v>102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67" t="s">
        <v>58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60</v>
      </c>
      <c r="C55" s="48" t="str">
        <f>C4</f>
        <v>涡街流量计</v>
      </c>
      <c r="D55" s="48"/>
      <c r="E55" s="48"/>
      <c r="F55" s="48"/>
      <c r="G55" s="48"/>
      <c r="H55" s="48"/>
      <c r="I55" s="46" t="s">
        <v>63</v>
      </c>
      <c r="J55" s="62"/>
      <c r="K55" s="48" t="str">
        <f>K4</f>
        <v>2026E70-40-000029</v>
      </c>
      <c r="L55" s="48"/>
      <c r="M55" s="4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61</v>
      </c>
      <c r="C56" s="83" t="str">
        <f>C5</f>
        <v>LUGB 015YDMEJCX2BB-401N15NN4</v>
      </c>
      <c r="D56" s="83"/>
      <c r="E56" s="83"/>
      <c r="F56" s="83"/>
      <c r="G56" s="83"/>
      <c r="H56" s="83"/>
      <c r="I56" s="46" t="s">
        <v>64</v>
      </c>
      <c r="J56" s="62"/>
      <c r="K56" s="48" t="str">
        <f>K5</f>
        <v>上海自仪海莱特流量仪表有限公司</v>
      </c>
      <c r="L56" s="48"/>
      <c r="M56" s="4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62</v>
      </c>
      <c r="C57" s="52" t="str">
        <f>C6</f>
        <v>2026010023</v>
      </c>
      <c r="D57" s="52"/>
      <c r="E57" s="52"/>
      <c r="F57" s="52"/>
      <c r="G57" s="52"/>
      <c r="H57" s="52"/>
      <c r="I57" s="46" t="s">
        <v>65</v>
      </c>
      <c r="J57" s="47"/>
      <c r="K57" s="14" t="str">
        <f>贮存环境电磁兼容后复测!B6</f>
        <v>(20-21)℃</v>
      </c>
      <c r="L57" s="16" t="s">
        <v>66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67</v>
      </c>
      <c r="C58" s="48" t="s">
        <v>80</v>
      </c>
      <c r="D58" s="48"/>
      <c r="E58" s="48"/>
      <c r="F58" s="48"/>
      <c r="G58" s="81" t="s">
        <v>59</v>
      </c>
      <c r="H58" s="82"/>
      <c r="I58" s="48" t="str">
        <f>I7</f>
        <v xml:space="preserve"> ( 3.2～32 )m³/h</v>
      </c>
      <c r="J58" s="48"/>
      <c r="K58" s="60"/>
      <c r="L58" s="60"/>
      <c r="M58" s="6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68</v>
      </c>
      <c r="C59" s="59" t="str">
        <f>C8</f>
        <v>张衡路1500号流量大力值楼101室</v>
      </c>
      <c r="D59" s="59"/>
      <c r="E59" s="59"/>
      <c r="F59" s="59"/>
      <c r="G59" s="48"/>
      <c r="H59" s="48"/>
      <c r="I59" s="48"/>
      <c r="J59" s="3" t="str">
        <f>J8</f>
        <v>技术依据：</v>
      </c>
      <c r="K59" s="48" t="str">
        <f>K8</f>
        <v>JJG 1029-2007附录A</v>
      </c>
      <c r="L59" s="48"/>
      <c r="M59" s="4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78</v>
      </c>
      <c r="C60" s="76" t="s">
        <v>119</v>
      </c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84</v>
      </c>
      <c r="C61" s="48" t="s">
        <v>81</v>
      </c>
      <c r="D61" s="48"/>
      <c r="E61" s="12" t="str">
        <f>E14</f>
        <v>32</v>
      </c>
      <c r="F61" s="4" t="s">
        <v>74</v>
      </c>
      <c r="G61" s="48" t="s">
        <v>82</v>
      </c>
      <c r="H61" s="48"/>
      <c r="I61" s="12" t="str">
        <f>I14</f>
        <v>3.2</v>
      </c>
      <c r="J61" s="4" t="s">
        <v>74</v>
      </c>
      <c r="K61" s="13" t="s">
        <v>83</v>
      </c>
      <c r="L61" s="12" t="str">
        <f>L14</f>
        <v>6.4</v>
      </c>
      <c r="M61" s="4" t="s">
        <v>74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73" t="s">
        <v>89</v>
      </c>
      <c r="C62" s="28" t="s">
        <v>88</v>
      </c>
      <c r="D62" s="35"/>
      <c r="E62" s="53" t="s">
        <v>91</v>
      </c>
      <c r="F62" s="54"/>
      <c r="G62" s="53" t="s">
        <v>92</v>
      </c>
      <c r="H62" s="54"/>
      <c r="I62" s="40" t="s">
        <v>93</v>
      </c>
      <c r="J62" s="53" t="s">
        <v>101</v>
      </c>
      <c r="K62" s="54"/>
      <c r="L62" s="40" t="s">
        <v>100</v>
      </c>
      <c r="M62" s="4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74"/>
      <c r="C63" s="36"/>
      <c r="D63" s="37"/>
      <c r="E63" s="55"/>
      <c r="F63" s="56"/>
      <c r="G63" s="55"/>
      <c r="H63" s="56"/>
      <c r="I63" s="72"/>
      <c r="J63" s="55"/>
      <c r="K63" s="56"/>
      <c r="L63" s="40"/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74"/>
      <c r="C64" s="36"/>
      <c r="D64" s="37"/>
      <c r="E64" s="57"/>
      <c r="F64" s="58"/>
      <c r="G64" s="57"/>
      <c r="H64" s="58"/>
      <c r="I64" s="72"/>
      <c r="J64" s="57"/>
      <c r="K64" s="58"/>
      <c r="L64" s="40"/>
      <c r="M64" s="4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75"/>
      <c r="C65" s="38"/>
      <c r="D65" s="39"/>
      <c r="E65" s="40" t="s">
        <v>90</v>
      </c>
      <c r="F65" s="40"/>
      <c r="G65" s="40" t="s">
        <v>90</v>
      </c>
      <c r="H65" s="40"/>
      <c r="I65" s="10" t="s">
        <v>95</v>
      </c>
      <c r="J65" s="40" t="s">
        <v>95</v>
      </c>
      <c r="K65" s="40"/>
      <c r="L65" s="40"/>
      <c r="M65" s="4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41" t="s">
        <v>82</v>
      </c>
      <c r="C66" s="40">
        <v>1</v>
      </c>
      <c r="D66" s="40"/>
      <c r="E66" s="45" t="str">
        <f>贮存环境电磁兼容后复测!N15</f>
        <v>54.6360</v>
      </c>
      <c r="F66" s="45"/>
      <c r="G66" s="44" t="str">
        <f>贮存环境电磁兼容后复测!F15</f>
        <v>55.2945</v>
      </c>
      <c r="H66" s="44"/>
      <c r="I66" s="15">
        <f>(E66-G66)/G66*100</f>
        <v>-1.1908960203998527</v>
      </c>
      <c r="J66" s="27">
        <f>AVERAGE(I66:I68)</f>
        <v>-1.2003739874203481</v>
      </c>
      <c r="K66" s="27"/>
      <c r="L66" s="61" t="s">
        <v>120</v>
      </c>
      <c r="M66" s="3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42"/>
      <c r="C67" s="40">
        <v>2</v>
      </c>
      <c r="D67" s="40"/>
      <c r="E67" s="45" t="str">
        <f>贮存环境电磁兼容后复测!N16</f>
        <v>53.9931</v>
      </c>
      <c r="F67" s="45"/>
      <c r="G67" s="44" t="str">
        <f>贮存环境电磁兼容后复测!F16</f>
        <v>54.7060</v>
      </c>
      <c r="H67" s="44"/>
      <c r="I67" s="15">
        <f t="shared" ref="I67:I68" si="2">(E67-G67)/G67*100</f>
        <v>-1.3031477351661696</v>
      </c>
      <c r="J67" s="27"/>
      <c r="K67" s="27"/>
      <c r="L67" s="36"/>
      <c r="M67" s="3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43"/>
      <c r="C68" s="40">
        <v>3</v>
      </c>
      <c r="D68" s="40"/>
      <c r="E68" s="45" t="str">
        <f>贮存环境电磁兼容后复测!N17</f>
        <v>53.8111</v>
      </c>
      <c r="F68" s="45"/>
      <c r="G68" s="44" t="str">
        <f>贮存环境电磁兼容后复测!F17</f>
        <v>54.4135</v>
      </c>
      <c r="H68" s="44"/>
      <c r="I68" s="15">
        <f t="shared" si="2"/>
        <v>-1.107078206695022</v>
      </c>
      <c r="J68" s="27"/>
      <c r="K68" s="27"/>
      <c r="L68" s="36"/>
      <c r="M68" s="3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69" t="s">
        <v>85</v>
      </c>
      <c r="C90" s="70"/>
      <c r="D90" s="12"/>
      <c r="E90" s="12"/>
      <c r="F90" s="12"/>
      <c r="G90" s="69" t="s">
        <v>86</v>
      </c>
      <c r="H90" s="71"/>
      <c r="I90" s="12"/>
      <c r="J90" s="23" t="s">
        <v>416</v>
      </c>
      <c r="K90" s="78" t="s">
        <v>418</v>
      </c>
      <c r="L90" s="78"/>
      <c r="M90" s="7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63" t="s">
        <v>87</v>
      </c>
      <c r="M92" s="6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5"/>
      <c r="M93" s="6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47:M47"/>
    <mergeCell ref="K90:M90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41:F41"/>
    <mergeCell ref="E20:F20"/>
    <mergeCell ref="E19:F19"/>
    <mergeCell ref="C38:D38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E15:F17"/>
    <mergeCell ref="G15:H17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C39:D39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2026-10-20T00:40:41Z</cp:lastPrinted>
  <dcterms:created xsi:type="dcterms:W3CDTF">2025-09-05T03:03:06Z</dcterms:created>
  <dcterms:modified xsi:type="dcterms:W3CDTF">2026-10-21T02:21:12Z</dcterms:modified>
</cp:coreProperties>
</file>