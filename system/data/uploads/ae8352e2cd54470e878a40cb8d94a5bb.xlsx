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5360" windowHeight="1149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L258" i="3" l="1"/>
  <c r="I2" i="6" l="1"/>
  <c r="J2" i="6" s="1"/>
  <c r="H2" i="6"/>
  <c r="D2" i="6"/>
  <c r="E252" i="3" l="1"/>
  <c r="K287" i="3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I317" i="3" s="1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I310" i="3" l="1"/>
  <c r="J321" i="3"/>
  <c r="I319" i="3"/>
  <c r="I316" i="3"/>
  <c r="I299" i="3"/>
  <c r="I302" i="3"/>
  <c r="I318" i="3"/>
  <c r="J317" i="3" s="1"/>
  <c r="L317" i="3" s="1"/>
  <c r="I315" i="3"/>
  <c r="J315" i="3" s="1"/>
  <c r="I312" i="3"/>
  <c r="I311" i="3"/>
  <c r="I320" i="3"/>
  <c r="J319" i="3" s="1"/>
  <c r="I309" i="3"/>
  <c r="J309" i="3" s="1"/>
  <c r="L321" i="3" s="1"/>
  <c r="J301" i="3"/>
  <c r="I308" i="3"/>
  <c r="I303" i="3"/>
  <c r="I304" i="3"/>
  <c r="I300" i="3"/>
  <c r="J299" i="3" s="1"/>
  <c r="I307" i="3"/>
  <c r="J307" i="3" s="1"/>
  <c r="I313" i="3"/>
  <c r="I314" i="3"/>
  <c r="L250" i="3"/>
  <c r="I250" i="3"/>
  <c r="E250" i="3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L319" i="3" l="1"/>
  <c r="J303" i="3"/>
  <c r="L315" i="3" s="1"/>
  <c r="J313" i="3"/>
  <c r="L313" i="3" s="1"/>
  <c r="J311" i="3"/>
  <c r="L311" i="3" s="1"/>
  <c r="I278" i="3"/>
  <c r="I276" i="3"/>
  <c r="I274" i="3"/>
  <c r="I271" i="3"/>
  <c r="I258" i="3" l="1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E133" i="3"/>
  <c r="E134" i="3"/>
  <c r="E135" i="3"/>
  <c r="E136" i="3"/>
  <c r="E137" i="3"/>
  <c r="E132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J267" i="3"/>
  <c r="J270" i="3"/>
  <c r="J142" i="3"/>
  <c r="J124" i="3"/>
  <c r="I170" i="3"/>
  <c r="J122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68" i="3"/>
  <c r="J120" i="3"/>
  <c r="L70" i="3"/>
  <c r="I70" i="3"/>
  <c r="E70" i="3"/>
  <c r="I112" i="3"/>
  <c r="C112" i="3"/>
  <c r="C111" i="3"/>
  <c r="K110" i="3"/>
  <c r="K109" i="3"/>
  <c r="C110" i="3"/>
  <c r="C109" i="3"/>
  <c r="J167" i="3" l="1"/>
  <c r="J169" i="3"/>
  <c r="J216" i="3"/>
  <c r="J220" i="3"/>
  <c r="J212" i="3"/>
  <c r="J165" i="3"/>
  <c r="J218" i="3"/>
  <c r="J214" i="3"/>
  <c r="J210" i="3"/>
  <c r="F19" i="8"/>
  <c r="G137" i="3" s="1"/>
  <c r="I137" i="3" s="1"/>
  <c r="F18" i="8"/>
  <c r="F17" i="8"/>
  <c r="G135" i="3" s="1"/>
  <c r="I135" i="3" s="1"/>
  <c r="F16" i="8"/>
  <c r="F15" i="8"/>
  <c r="G133" i="3" s="1"/>
  <c r="I133" i="3" s="1"/>
  <c r="F14" i="8"/>
  <c r="F9" i="8"/>
  <c r="G8" i="8"/>
  <c r="F8" i="8"/>
  <c r="G130" i="3" s="1"/>
  <c r="I130" i="3" s="1"/>
  <c r="J130" i="3" s="1"/>
  <c r="F7" i="8"/>
  <c r="F6" i="8"/>
  <c r="G128" i="3" s="1"/>
  <c r="I128" i="3" s="1"/>
  <c r="J128" i="3" s="1"/>
  <c r="F5" i="8"/>
  <c r="F4" i="8"/>
  <c r="G126" i="3" s="1"/>
  <c r="I126" i="3" s="1"/>
  <c r="J126" i="3" s="1"/>
  <c r="G16" i="8" l="1"/>
  <c r="G134" i="3"/>
  <c r="I134" i="3" s="1"/>
  <c r="J134" i="3" s="1"/>
  <c r="G14" i="8"/>
  <c r="G132" i="3"/>
  <c r="I132" i="3" s="1"/>
  <c r="J132" i="3" s="1"/>
  <c r="G19" i="8"/>
  <c r="G17" i="8"/>
  <c r="G15" i="8"/>
  <c r="G18" i="8"/>
  <c r="G136" i="3"/>
  <c r="I136" i="3" s="1"/>
  <c r="J136" i="3" s="1"/>
  <c r="G6" i="8"/>
  <c r="G9" i="8"/>
  <c r="G131" i="3"/>
  <c r="I131" i="3" s="1"/>
  <c r="G4" i="8"/>
  <c r="G7" i="8"/>
  <c r="G129" i="3"/>
  <c r="I129" i="3" s="1"/>
  <c r="G5" i="8"/>
  <c r="G127" i="3"/>
  <c r="I127" i="3" s="1"/>
  <c r="L220" i="3"/>
  <c r="L216" i="3"/>
  <c r="L218" i="3"/>
  <c r="I67" i="3"/>
  <c r="C67" i="3"/>
  <c r="M66" i="3"/>
  <c r="K66" i="3"/>
  <c r="K64" i="3"/>
  <c r="C65" i="3"/>
  <c r="C64" i="3"/>
  <c r="K65" i="3"/>
  <c r="C66" i="3"/>
  <c r="D87" i="3" l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L267" i="3" s="1"/>
  <c r="J49" i="3"/>
  <c r="L275" i="3" s="1"/>
  <c r="K75" i="3"/>
  <c r="J75" i="3"/>
  <c r="J51" i="3"/>
  <c r="L277" i="3" s="1"/>
  <c r="J78" i="3"/>
  <c r="K78" i="3"/>
  <c r="K81" i="3"/>
  <c r="J81" i="3"/>
  <c r="K41" i="3"/>
  <c r="K17" i="3"/>
  <c r="J47" i="3"/>
  <c r="L273" i="3" s="1"/>
  <c r="K23" i="3"/>
  <c r="J41" i="3"/>
  <c r="L270" i="3" s="1"/>
  <c r="K35" i="3"/>
  <c r="K29" i="3"/>
  <c r="J17" i="3"/>
  <c r="J23" i="3"/>
  <c r="L261" i="3" s="1"/>
  <c r="J29" i="3"/>
  <c r="L264" i="3" s="1"/>
  <c r="H87" i="3" l="1"/>
  <c r="K87" i="3" s="1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<sst xmlns="http://schemas.openxmlformats.org/spreadsheetml/2006/main" count="681" uniqueCount="201">
  <si>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</si>
  <si>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</si>
  <si>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</si>
  <si>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</si>
  <si>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</si>
  <si>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</si>
  <si>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</si>
  <si>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</si>
  <si>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</si>
  <si>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</si>
  <si>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</si>
  <si>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</si>
  <si>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</si>
  <si>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</si>
  <si>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</si>
  <si>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</si>
  <si>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</si>
  <si>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</si>
  <si>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</si>
  <si>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</si>
  <si>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</si>
  <si>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</si>
  <si>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</si>
  <si>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</si>
  <si>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</si>
  <si>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</si>
  <si>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</si>
  <si>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</si>
  <si>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</si>
  <si>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</si>
  <si>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</si>
  <si>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</si>
  <si>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</si>
  <si>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</si>
  <si>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</si>
  <si>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</si>
  <si>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</si>
  <si>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</si>
  <si>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</si>
  <si>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(65~67)%RH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</si>
  <si>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</si>
  <si>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</si>
  <si>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</si>
  <si>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</si>
  <si>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</si>
  <si>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</si>
  <si>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</si>
  <si>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</si>
  <si>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</si>
  <si>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</si>
  <si>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</si>
  <si>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</si>
  <si>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</si>
  <si>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</si>
  <si>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</si>
  <si>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</si>
  <si>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</si>
  <si>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</si>
  <si>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</si>
  <si>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</si>
  <si>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</si>
  <si>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</si>
  <si>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</si>
  <si>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</si>
  <si>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</si>
  <si>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</si>
  <si>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</si>
  <si>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</si>
  <si>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</si>
  <si>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</si>
  <si>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</si>
  <si>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</si>
  <si>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</si>
  <si>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</si>
  <si>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</si>
  <si>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</si>
  <si>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</si>
  <si>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</si>
  <si>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</si>
  <si>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</si>
  <si>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</si>
  <si>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</si>
  <si>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</si>
  <si>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</si>
  <si>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</si>
  <si>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</si>
  <si>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</si>
  <si>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</si>
  <si>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</si>
  <si>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</si>
  <si>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</si>
  <si>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</si>
  <si>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</si>
  <si>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</si>
  <si>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</si>
  <si>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</si>
  <si>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</si>
  <si>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</si>
  <si>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</si>
  <si>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</si>
  <si>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</si>
  <si>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</si>
  <si>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</si>
  <si>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</si>
  <si>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</si>
  <si>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</si>
  <si>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</si>
  <si>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</si>
  <si>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</si>
  <si>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</si>
  <si>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</si>
  <si>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</si>
  <si>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</si>
  <si>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</si>
  <si>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</si>
  <si>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</si>
  <si>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</si>
  <si>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</si>
  <si>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</si>
  <si>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</si>
  <si>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UG1.6A LP Z2-NB</t>
    <phoneticPr fontId="4" type="noConversion"/>
  </si>
  <si>
    <t>(0.016~2.5)m³/h</t>
    <phoneticPr fontId="4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</si>
  <si>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</si>
  <si>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</si>
  <si>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</si>
  <si>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</si>
  <si>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</si>
  <si>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</si>
  <si>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</si>
  <si>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</si>
  <si>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</si>
  <si>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</si>
  <si>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</si>
  <si>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</si>
  <si>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</si>
  <si>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</si>
  <si>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</si>
  <si>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</si>
  <si>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</si>
  <si>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</si>
  <si>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</si>
  <si>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>(58~60)%RH</t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</si>
  <si>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</si>
  <si>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</si>
  <si>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</si>
  <si>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</si>
  <si>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</si>
  <si>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</si>
  <si>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</si>
  <si>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</si>
  <si>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</si>
  <si>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</si>
  <si>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</si>
  <si>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</si>
  <si>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</si>
  <si>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</si>
  <si>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</si>
  <si>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</si>
  <si>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</si>
  <si>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</si>
  <si>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</si>
  <si>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</si>
  <si>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</si>
  <si>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(54~56)%RH</t>
    <phoneticPr fontId="4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</si>
  <si>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</si>
  <si>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</si>
  <si>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</si>
  <si>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</si>
  <si>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</si>
  <si>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</si>
  <si>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</si>
  <si>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</si>
  <si>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</si>
  <si>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</si>
  <si>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</si>
  <si>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</si>
  <si>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</si>
  <si>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</si>
  <si>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</si>
  <si>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</si>
  <si>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</si>
  <si>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</si>
  <si>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</si>
  <si>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</si>
  <si>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</si>
  <si>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</si>
  <si>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</si>
  <si>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</si>
  <si>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</si>
  <si>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</si>
  <si>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</si>
  <si>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</si>
  <si>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</si>
  <si>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</si>
  <si>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2026E70-40-000006</t>
    <phoneticPr fontId="4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</si>
  <si>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</si>
  <si>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</si>
  <si>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</si>
  <si>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</si>
  <si>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t>2582928128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</si>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</sst>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7" fontId="6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9" fontId="6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2" fontId="6" fillId="0" borderId="1" xfId="1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D24" sqref="D2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9">
        <v>2.5126870000000001</v>
      </c>
      <c r="D2" s="89">
        <v>71.531499999999994</v>
      </c>
      <c r="E2" s="89">
        <v>68.59</v>
      </c>
      <c r="F2" s="89">
        <v>100.64</v>
      </c>
      <c r="G2" s="89">
        <v>23.03</v>
      </c>
      <c r="H2" s="89">
        <v>49.926740000000002</v>
      </c>
      <c r="I2" s="89">
        <v>100.78700000000001</v>
      </c>
      <c r="J2" s="89">
        <v>21.38</v>
      </c>
      <c r="K2" s="89">
        <v>50</v>
      </c>
      <c r="L2" s="89">
        <v>0.15</v>
      </c>
      <c r="M2" s="89">
        <v>0.15</v>
      </c>
      <c r="N2" s="89">
        <v>0</v>
      </c>
      <c r="O2" s="89">
        <v>40</v>
      </c>
    </row>
    <row r="3" spans="1:15" ht="14.25" customHeight="1" x14ac:dyDescent="0.15">
      <c r="A3" s="6" t="s">
        <v>16</v>
      </c>
      <c r="B3" s="6">
        <v>1</v>
      </c>
      <c r="C3" s="89">
        <v>1.7291080000000001</v>
      </c>
      <c r="D3" s="89">
        <v>62.543399999999998</v>
      </c>
      <c r="E3" s="89">
        <v>68.849999999999994</v>
      </c>
      <c r="F3" s="89">
        <v>100.777</v>
      </c>
      <c r="G3" s="89">
        <v>23.03</v>
      </c>
      <c r="H3" s="89">
        <v>30.04008</v>
      </c>
      <c r="I3" s="89">
        <v>100.836</v>
      </c>
      <c r="J3" s="89">
        <v>21.37</v>
      </c>
      <c r="K3" s="89">
        <v>30</v>
      </c>
      <c r="L3" s="89">
        <v>-0.13</v>
      </c>
      <c r="M3" s="89">
        <v>-0.13</v>
      </c>
      <c r="N3" s="89">
        <v>0</v>
      </c>
      <c r="O3" s="89">
        <v>22</v>
      </c>
    </row>
    <row r="4" spans="1:15" ht="14.25" customHeight="1" x14ac:dyDescent="0.15">
      <c r="A4" s="6" t="s">
        <v>17</v>
      </c>
      <c r="B4" s="6">
        <v>1</v>
      </c>
      <c r="C4" s="89">
        <v>0.99417100000000003</v>
      </c>
      <c r="D4" s="89">
        <v>72.437399999999997</v>
      </c>
      <c r="E4" s="89">
        <v>69.31</v>
      </c>
      <c r="F4" s="89">
        <v>100.866</v>
      </c>
      <c r="G4" s="89">
        <v>23.03</v>
      </c>
      <c r="H4" s="89">
        <v>20.00421</v>
      </c>
      <c r="I4" s="89">
        <v>100.866</v>
      </c>
      <c r="J4" s="89">
        <v>21.36</v>
      </c>
      <c r="K4" s="89">
        <v>20</v>
      </c>
      <c r="L4" s="89">
        <v>-0.02</v>
      </c>
      <c r="M4" s="89">
        <v>-0.02</v>
      </c>
      <c r="N4" s="89">
        <v>0</v>
      </c>
      <c r="O4" s="89">
        <v>10</v>
      </c>
    </row>
    <row r="5" spans="1:15" ht="14.25" customHeight="1" x14ac:dyDescent="0.15">
      <c r="A5" s="6" t="s">
        <v>18</v>
      </c>
      <c r="B5" s="6">
        <v>1</v>
      </c>
      <c r="C5" s="89">
        <v>0.49551299999999998</v>
      </c>
      <c r="D5" s="89">
        <v>145.2833</v>
      </c>
      <c r="E5" s="89">
        <v>69.45</v>
      </c>
      <c r="F5" s="89">
        <v>100.902</v>
      </c>
      <c r="G5" s="89">
        <v>23.01</v>
      </c>
      <c r="H5" s="89">
        <v>19.997170000000001</v>
      </c>
      <c r="I5" s="89">
        <v>100.877</v>
      </c>
      <c r="J5" s="89">
        <v>21.35</v>
      </c>
      <c r="K5" s="89">
        <v>20</v>
      </c>
      <c r="L5" s="89">
        <v>0.01</v>
      </c>
      <c r="M5" s="89">
        <v>0.01</v>
      </c>
      <c r="N5" s="89">
        <v>0</v>
      </c>
      <c r="O5" s="89">
        <v>4</v>
      </c>
    </row>
    <row r="6" spans="1:15" ht="14.25" customHeight="1" x14ac:dyDescent="0.15">
      <c r="A6" s="6" t="s">
        <v>19</v>
      </c>
      <c r="B6" s="6">
        <v>1</v>
      </c>
      <c r="C6" s="89">
        <v>0.244201</v>
      </c>
      <c r="D6" s="89">
        <v>294.91849999999999</v>
      </c>
      <c r="E6" s="89">
        <v>69.75</v>
      </c>
      <c r="F6" s="89">
        <v>100.91500000000001</v>
      </c>
      <c r="G6" s="89">
        <v>23</v>
      </c>
      <c r="H6" s="89">
        <v>20.005379999999999</v>
      </c>
      <c r="I6" s="89">
        <v>100.88200000000001</v>
      </c>
      <c r="J6" s="89">
        <v>21.34</v>
      </c>
      <c r="K6" s="89">
        <v>20</v>
      </c>
      <c r="L6" s="89">
        <v>-0.03</v>
      </c>
      <c r="M6" s="89">
        <v>-0.03</v>
      </c>
      <c r="N6" s="89">
        <v>0</v>
      </c>
      <c r="O6" s="89">
        <v>2</v>
      </c>
    </row>
    <row r="7" spans="1:15" ht="14.25" customHeight="1" x14ac:dyDescent="0.15">
      <c r="A7" s="6" t="s">
        <v>15</v>
      </c>
      <c r="B7" s="6">
        <v>1</v>
      </c>
      <c r="C7" s="89">
        <v>2.5127959999999998</v>
      </c>
      <c r="D7" s="89">
        <v>71.478099999999998</v>
      </c>
      <c r="E7" s="89">
        <v>69.959999999999994</v>
      </c>
      <c r="F7" s="89">
        <v>100.634</v>
      </c>
      <c r="G7" s="89">
        <v>22.98</v>
      </c>
      <c r="H7" s="89">
        <v>49.891640000000002</v>
      </c>
      <c r="I7" s="89">
        <v>100.78</v>
      </c>
      <c r="J7" s="89">
        <v>21.34</v>
      </c>
      <c r="K7" s="89">
        <v>50</v>
      </c>
      <c r="L7" s="89">
        <v>0.22</v>
      </c>
      <c r="M7" s="89">
        <v>0.22</v>
      </c>
      <c r="N7" s="89">
        <v>0</v>
      </c>
      <c r="O7" s="89">
        <v>40</v>
      </c>
    </row>
    <row r="8" spans="1:15" ht="14.25" customHeight="1" x14ac:dyDescent="0.15">
      <c r="A8" s="6" t="s">
        <v>16</v>
      </c>
      <c r="B8" s="6">
        <v>1</v>
      </c>
      <c r="C8" s="89">
        <v>1.729241</v>
      </c>
      <c r="D8" s="89">
        <v>62.4724</v>
      </c>
      <c r="E8" s="89">
        <v>69.98</v>
      </c>
      <c r="F8" s="89">
        <v>100.773</v>
      </c>
      <c r="G8" s="89">
        <v>22.98</v>
      </c>
      <c r="H8" s="89">
        <v>30.008279999999999</v>
      </c>
      <c r="I8" s="89">
        <v>100.83199999999999</v>
      </c>
      <c r="J8" s="89">
        <v>21.34</v>
      </c>
      <c r="K8" s="89">
        <v>30</v>
      </c>
      <c r="L8" s="89">
        <v>-0.03</v>
      </c>
      <c r="M8" s="89">
        <v>-0.03</v>
      </c>
      <c r="N8" s="89">
        <v>0</v>
      </c>
      <c r="O8" s="89">
        <v>22</v>
      </c>
    </row>
    <row r="9" spans="1:15" ht="14.25" customHeight="1" x14ac:dyDescent="0.15">
      <c r="A9" s="6" t="s">
        <v>17</v>
      </c>
      <c r="B9" s="6">
        <v>1</v>
      </c>
      <c r="C9" s="89">
        <v>0.99428099999999997</v>
      </c>
      <c r="D9" s="89">
        <v>72.366299999999995</v>
      </c>
      <c r="E9" s="89">
        <v>69.81</v>
      </c>
      <c r="F9" s="89">
        <v>100.86199999999999</v>
      </c>
      <c r="G9" s="89">
        <v>22.98</v>
      </c>
      <c r="H9" s="89">
        <v>19.986789999999999</v>
      </c>
      <c r="I9" s="89">
        <v>100.86199999999999</v>
      </c>
      <c r="J9" s="89">
        <v>21.34</v>
      </c>
      <c r="K9" s="89">
        <v>20</v>
      </c>
      <c r="L9" s="89">
        <v>7.0000000000000007E-2</v>
      </c>
      <c r="M9" s="89">
        <v>7.0000000000000007E-2</v>
      </c>
      <c r="N9" s="89">
        <v>0</v>
      </c>
      <c r="O9" s="89">
        <v>10</v>
      </c>
    </row>
    <row r="10" spans="1:15" ht="14.25" customHeight="1" x14ac:dyDescent="0.15">
      <c r="A10" s="6" t="s">
        <v>18</v>
      </c>
      <c r="B10" s="6">
        <v>1</v>
      </c>
      <c r="C10" s="89">
        <v>0.49554199999999998</v>
      </c>
      <c r="D10" s="89">
        <v>145.24780000000001</v>
      </c>
      <c r="E10" s="89">
        <v>69.36</v>
      </c>
      <c r="F10" s="89">
        <v>100.898</v>
      </c>
      <c r="G10" s="89">
        <v>22.97</v>
      </c>
      <c r="H10" s="89">
        <v>19.99344</v>
      </c>
      <c r="I10" s="89">
        <v>100.873</v>
      </c>
      <c r="J10" s="89">
        <v>21.32</v>
      </c>
      <c r="K10" s="89">
        <v>20</v>
      </c>
      <c r="L10" s="89">
        <v>0.03</v>
      </c>
      <c r="M10" s="89">
        <v>0.03</v>
      </c>
      <c r="N10" s="89">
        <v>0</v>
      </c>
      <c r="O10" s="89">
        <v>4</v>
      </c>
    </row>
    <row r="11" spans="1:15" ht="14.25" customHeight="1" x14ac:dyDescent="0.15">
      <c r="A11" s="6" t="s">
        <v>19</v>
      </c>
      <c r="B11" s="6">
        <v>1</v>
      </c>
      <c r="C11" s="89">
        <v>0.244196</v>
      </c>
      <c r="D11" s="89">
        <v>295.02499999999998</v>
      </c>
      <c r="E11" s="89">
        <v>68.58</v>
      </c>
      <c r="F11" s="89">
        <v>100.905</v>
      </c>
      <c r="G11" s="89">
        <v>22.95</v>
      </c>
      <c r="H11" s="89">
        <v>20.012180000000001</v>
      </c>
      <c r="I11" s="89">
        <v>100.872</v>
      </c>
      <c r="J11" s="89">
        <v>21.29</v>
      </c>
      <c r="K11" s="89">
        <v>20</v>
      </c>
      <c r="L11" s="89">
        <v>-0.06</v>
      </c>
      <c r="M11" s="89">
        <v>-0.06</v>
      </c>
      <c r="N11" s="89">
        <v>0</v>
      </c>
      <c r="O11" s="89">
        <v>2</v>
      </c>
    </row>
    <row r="12" spans="1:15" ht="14.25" customHeight="1" x14ac:dyDescent="0.15">
      <c r="A12" s="6" t="s">
        <v>15</v>
      </c>
      <c r="B12" s="6">
        <v>1</v>
      </c>
      <c r="C12" s="89">
        <v>2.5112329999999998</v>
      </c>
      <c r="D12" s="89">
        <v>71.513599999999997</v>
      </c>
      <c r="E12" s="89">
        <v>67.099999999999994</v>
      </c>
      <c r="F12" s="89">
        <v>100.545</v>
      </c>
      <c r="G12" s="89">
        <v>22.76</v>
      </c>
      <c r="H12" s="89">
        <v>49.885359999999999</v>
      </c>
      <c r="I12" s="89">
        <v>100.69199999999999</v>
      </c>
      <c r="J12" s="89">
        <v>21.08</v>
      </c>
      <c r="K12" s="89">
        <v>50</v>
      </c>
      <c r="L12" s="89">
        <v>0.23</v>
      </c>
      <c r="M12" s="89">
        <v>0.23</v>
      </c>
      <c r="N12" s="89">
        <v>0</v>
      </c>
      <c r="O12" s="89">
        <v>40</v>
      </c>
    </row>
    <row r="13" spans="1:15" ht="14.25" customHeight="1" x14ac:dyDescent="0.15">
      <c r="A13" s="6" t="s">
        <v>16</v>
      </c>
      <c r="B13" s="6">
        <v>1</v>
      </c>
      <c r="C13" s="89">
        <v>1.729053</v>
      </c>
      <c r="D13" s="89">
        <v>62.490099999999998</v>
      </c>
      <c r="E13" s="89">
        <v>68.150000000000006</v>
      </c>
      <c r="F13" s="89">
        <v>100.75700000000001</v>
      </c>
      <c r="G13" s="89">
        <v>22.94</v>
      </c>
      <c r="H13" s="89">
        <v>30.013529999999999</v>
      </c>
      <c r="I13" s="89">
        <v>100.816</v>
      </c>
      <c r="J13" s="89">
        <v>21.28</v>
      </c>
      <c r="K13" s="89">
        <v>30</v>
      </c>
      <c r="L13" s="89">
        <v>-0.05</v>
      </c>
      <c r="M13" s="89">
        <v>-0.05</v>
      </c>
      <c r="N13" s="89">
        <v>0</v>
      </c>
      <c r="O13" s="89">
        <v>22</v>
      </c>
    </row>
    <row r="14" spans="1:15" ht="14.25" customHeight="1" x14ac:dyDescent="0.15">
      <c r="A14" s="6" t="s">
        <v>17</v>
      </c>
      <c r="B14" s="6">
        <v>1</v>
      </c>
      <c r="C14" s="89">
        <v>0.99416800000000005</v>
      </c>
      <c r="D14" s="89">
        <v>72.543999999999997</v>
      </c>
      <c r="E14" s="89">
        <v>68.06</v>
      </c>
      <c r="F14" s="89">
        <v>100.848</v>
      </c>
      <c r="G14" s="89">
        <v>22.94</v>
      </c>
      <c r="H14" s="89">
        <v>20.033580000000001</v>
      </c>
      <c r="I14" s="89">
        <v>100.848</v>
      </c>
      <c r="J14" s="89">
        <v>21.27</v>
      </c>
      <c r="K14" s="89">
        <v>20</v>
      </c>
      <c r="L14" s="89">
        <v>-0.17</v>
      </c>
      <c r="M14" s="89">
        <v>-0.17</v>
      </c>
      <c r="N14" s="89">
        <v>0</v>
      </c>
      <c r="O14" s="89">
        <v>10</v>
      </c>
    </row>
    <row r="15" spans="1:15" ht="14.25" customHeight="1" x14ac:dyDescent="0.15">
      <c r="A15" s="6" t="s">
        <v>18</v>
      </c>
      <c r="B15" s="6">
        <v>1</v>
      </c>
      <c r="C15" s="89">
        <v>0.49551899999999999</v>
      </c>
      <c r="D15" s="89">
        <v>145.3366</v>
      </c>
      <c r="E15" s="89">
        <v>68.06</v>
      </c>
      <c r="F15" s="89">
        <v>100.887</v>
      </c>
      <c r="G15" s="89">
        <v>22.92</v>
      </c>
      <c r="H15" s="89">
        <v>20.004729999999999</v>
      </c>
      <c r="I15" s="89">
        <v>100.86199999999999</v>
      </c>
      <c r="J15" s="89">
        <v>21.26</v>
      </c>
      <c r="K15" s="89">
        <v>20</v>
      </c>
      <c r="L15" s="89">
        <v>-0.02</v>
      </c>
      <c r="M15" s="89">
        <v>-0.02</v>
      </c>
      <c r="N15" s="89">
        <v>0</v>
      </c>
      <c r="O15" s="89">
        <v>4</v>
      </c>
    </row>
    <row r="16" spans="1:15" ht="14.25" customHeight="1" x14ac:dyDescent="0.15">
      <c r="A16" s="6" t="s">
        <v>19</v>
      </c>
      <c r="B16" s="6">
        <v>1</v>
      </c>
      <c r="C16" s="89">
        <v>0.24417900000000001</v>
      </c>
      <c r="D16" s="89">
        <v>295.02499999999998</v>
      </c>
      <c r="E16" s="89">
        <v>67.75</v>
      </c>
      <c r="F16" s="89">
        <v>100.892</v>
      </c>
      <c r="G16" s="89">
        <v>22.91</v>
      </c>
      <c r="H16" s="89">
        <v>20.0108</v>
      </c>
      <c r="I16" s="89">
        <v>100.85899999999999</v>
      </c>
      <c r="J16" s="89">
        <v>21.24</v>
      </c>
      <c r="K16" s="89">
        <v>20</v>
      </c>
      <c r="L16" s="89">
        <v>-0.05</v>
      </c>
      <c r="M16" s="89">
        <v>-0.05</v>
      </c>
      <c r="N16" s="89">
        <v>0</v>
      </c>
      <c r="O16" s="89">
        <v>2</v>
      </c>
    </row>
    <row r="17" spans="1:15" ht="14.25" customHeight="1" x14ac:dyDescent="0.15">
      <c r="A17" s="25" t="s">
        <v>72</v>
      </c>
      <c r="B17" s="6">
        <v>1</v>
      </c>
      <c r="C17" s="89">
        <v>0.162546</v>
      </c>
      <c r="D17" s="89">
        <v>444.21609999999998</v>
      </c>
      <c r="E17" s="89">
        <v>67.37</v>
      </c>
      <c r="F17" s="89">
        <v>100.869</v>
      </c>
      <c r="G17" s="89">
        <v>22.87</v>
      </c>
      <c r="H17" s="89">
        <v>20.057079999999999</v>
      </c>
      <c r="I17" s="89">
        <v>100.85</v>
      </c>
      <c r="J17" s="89">
        <v>21.21</v>
      </c>
      <c r="K17" s="89">
        <v>20</v>
      </c>
      <c r="L17" s="89">
        <v>-0.28000000000000003</v>
      </c>
      <c r="M17" s="89">
        <v>-0.28000000000000003</v>
      </c>
      <c r="N17" s="89">
        <v>0</v>
      </c>
      <c r="O17" s="89">
        <v>2</v>
      </c>
    </row>
    <row r="18" spans="1:15" ht="14.25" customHeight="1" x14ac:dyDescent="0.15">
      <c r="A18" s="25" t="s">
        <v>73</v>
      </c>
      <c r="B18" s="6">
        <v>1</v>
      </c>
      <c r="C18" s="89">
        <v>8.1729999999999997E-2</v>
      </c>
      <c r="D18" s="89">
        <v>442.51089999999999</v>
      </c>
      <c r="E18" s="89">
        <v>67.12</v>
      </c>
      <c r="F18" s="89">
        <v>100.871</v>
      </c>
      <c r="G18" s="89">
        <v>22.85</v>
      </c>
      <c r="H18" s="89">
        <v>10.04618</v>
      </c>
      <c r="I18" s="89">
        <v>100.843</v>
      </c>
      <c r="J18" s="89">
        <v>21.18</v>
      </c>
      <c r="K18" s="89">
        <v>10</v>
      </c>
      <c r="L18" s="89">
        <v>-0.46</v>
      </c>
      <c r="M18" s="89">
        <v>-0.46</v>
      </c>
      <c r="N18" s="89">
        <v>0</v>
      </c>
      <c r="O18" s="89">
        <v>2</v>
      </c>
    </row>
    <row r="19" spans="1:15" x14ac:dyDescent="0.15">
      <c r="A19" s="25" t="s">
        <v>74</v>
      </c>
      <c r="B19" s="6">
        <v>1</v>
      </c>
      <c r="C19" s="89">
        <v>1.5667E-2</v>
      </c>
      <c r="D19" s="89">
        <v>2300.694</v>
      </c>
      <c r="E19" s="89">
        <v>67.099999999999994</v>
      </c>
      <c r="F19" s="89">
        <v>100.848</v>
      </c>
      <c r="G19" s="89">
        <v>22.8</v>
      </c>
      <c r="H19" s="89">
        <v>10.012180000000001</v>
      </c>
      <c r="I19" s="89">
        <v>100.812</v>
      </c>
      <c r="J19" s="89">
        <v>21.1</v>
      </c>
      <c r="K19" s="89">
        <v>10</v>
      </c>
      <c r="L19" s="89">
        <v>-0.12</v>
      </c>
      <c r="M19" s="89">
        <v>-0.12</v>
      </c>
      <c r="N19" s="89">
        <v>0</v>
      </c>
      <c r="O19" s="89">
        <v>1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D26" sqref="D26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89">
        <v>1.5665999999999999E-2</v>
      </c>
      <c r="D2" s="89">
        <v>2299.433</v>
      </c>
      <c r="E2" s="89">
        <v>66.92</v>
      </c>
      <c r="F2" s="89">
        <v>100.834</v>
      </c>
      <c r="G2" s="89">
        <v>22.72</v>
      </c>
      <c r="H2" s="89">
        <v>10.006449999999999</v>
      </c>
      <c r="I2" s="89">
        <v>100.798</v>
      </c>
      <c r="J2" s="89">
        <v>21.01</v>
      </c>
      <c r="K2" s="89">
        <v>10</v>
      </c>
      <c r="L2" s="89">
        <v>-0.06</v>
      </c>
      <c r="M2" s="89">
        <v>-0.06</v>
      </c>
      <c r="N2" s="89">
        <v>0</v>
      </c>
      <c r="O2" s="89">
        <v>1</v>
      </c>
    </row>
    <row r="3" spans="1:15" ht="14.25" customHeight="1" x14ac:dyDescent="0.15">
      <c r="A3" s="25" t="s">
        <v>75</v>
      </c>
      <c r="B3" s="6">
        <v>1</v>
      </c>
      <c r="C3" s="89">
        <v>8.1705E-2</v>
      </c>
      <c r="D3" s="89">
        <v>442.15559999999999</v>
      </c>
      <c r="E3" s="89">
        <v>67</v>
      </c>
      <c r="F3" s="89">
        <v>100.813</v>
      </c>
      <c r="G3" s="89">
        <v>22.67</v>
      </c>
      <c r="H3" s="89">
        <v>10.03506</v>
      </c>
      <c r="I3" s="89">
        <v>100.78400000000001</v>
      </c>
      <c r="J3" s="89">
        <v>20.97</v>
      </c>
      <c r="K3" s="89">
        <v>10</v>
      </c>
      <c r="L3" s="89">
        <v>-0.35</v>
      </c>
      <c r="M3" s="89">
        <v>-0.35</v>
      </c>
      <c r="N3" s="89">
        <v>0</v>
      </c>
      <c r="O3" s="89">
        <v>2</v>
      </c>
    </row>
    <row r="4" spans="1:15" ht="14.25" customHeight="1" x14ac:dyDescent="0.15">
      <c r="A4" s="25" t="s">
        <v>76</v>
      </c>
      <c r="B4" s="6">
        <v>1</v>
      </c>
      <c r="C4" s="89">
        <v>0.16248099999999999</v>
      </c>
      <c r="D4" s="89">
        <v>444.23399999999998</v>
      </c>
      <c r="E4" s="89">
        <v>67.040000000000006</v>
      </c>
      <c r="F4" s="89">
        <v>100.795</v>
      </c>
      <c r="G4" s="89">
        <v>22.65</v>
      </c>
      <c r="H4" s="89">
        <v>20.04984</v>
      </c>
      <c r="I4" s="89">
        <v>100.776</v>
      </c>
      <c r="J4" s="89">
        <v>20.97</v>
      </c>
      <c r="K4" s="89">
        <v>20</v>
      </c>
      <c r="L4" s="89">
        <v>-0.25</v>
      </c>
      <c r="M4" s="89">
        <v>-0.25</v>
      </c>
      <c r="N4" s="89">
        <v>0</v>
      </c>
      <c r="O4" s="89">
        <v>2</v>
      </c>
    </row>
    <row r="5" spans="1:15" ht="14.25" customHeight="1" x14ac:dyDescent="0.15">
      <c r="A5" s="6" t="s">
        <v>19</v>
      </c>
      <c r="B5" s="6">
        <v>1</v>
      </c>
      <c r="C5" s="89">
        <v>0.24404999999999999</v>
      </c>
      <c r="D5" s="89">
        <v>295.1671</v>
      </c>
      <c r="E5" s="89">
        <v>67.11</v>
      </c>
      <c r="F5" s="89">
        <v>100.80500000000001</v>
      </c>
      <c r="G5" s="89">
        <v>22.64</v>
      </c>
      <c r="H5" s="89">
        <v>20.009840000000001</v>
      </c>
      <c r="I5" s="89">
        <v>100.77200000000001</v>
      </c>
      <c r="J5" s="89">
        <v>20.96</v>
      </c>
      <c r="K5" s="89">
        <v>20</v>
      </c>
      <c r="L5" s="89">
        <v>-0.05</v>
      </c>
      <c r="M5" s="89">
        <v>-0.05</v>
      </c>
      <c r="N5" s="89">
        <v>0</v>
      </c>
      <c r="O5" s="89">
        <v>2</v>
      </c>
    </row>
    <row r="6" spans="1:15" ht="14.25" customHeight="1" x14ac:dyDescent="0.15">
      <c r="A6" s="6" t="s">
        <v>18</v>
      </c>
      <c r="B6" s="6">
        <v>1</v>
      </c>
      <c r="C6" s="89">
        <v>0.49548199999999998</v>
      </c>
      <c r="D6" s="89">
        <v>145.2833</v>
      </c>
      <c r="E6" s="89">
        <v>67.040000000000006</v>
      </c>
      <c r="F6" s="89">
        <v>100.83</v>
      </c>
      <c r="G6" s="89">
        <v>22.59</v>
      </c>
      <c r="H6" s="89">
        <v>19.995920000000002</v>
      </c>
      <c r="I6" s="89">
        <v>100.80500000000001</v>
      </c>
      <c r="J6" s="89">
        <v>20.94</v>
      </c>
      <c r="K6" s="89">
        <v>20</v>
      </c>
      <c r="L6" s="89">
        <v>0.02</v>
      </c>
      <c r="M6" s="89">
        <v>0.02</v>
      </c>
      <c r="N6" s="89">
        <v>0</v>
      </c>
      <c r="O6" s="89">
        <v>4</v>
      </c>
    </row>
    <row r="7" spans="1:15" ht="14.25" customHeight="1" x14ac:dyDescent="0.15">
      <c r="A7" s="6" t="s">
        <v>17</v>
      </c>
      <c r="B7" s="6">
        <v>1</v>
      </c>
      <c r="C7" s="89">
        <v>0.99373199999999995</v>
      </c>
      <c r="D7" s="89">
        <v>72.5261</v>
      </c>
      <c r="E7" s="89">
        <v>67.25</v>
      </c>
      <c r="F7" s="89">
        <v>100.776</v>
      </c>
      <c r="G7" s="89">
        <v>22.64</v>
      </c>
      <c r="H7" s="89">
        <v>20.019860000000001</v>
      </c>
      <c r="I7" s="89">
        <v>100.776</v>
      </c>
      <c r="J7" s="89">
        <v>20.98</v>
      </c>
      <c r="K7" s="89">
        <v>20</v>
      </c>
      <c r="L7" s="89">
        <v>-0.1</v>
      </c>
      <c r="M7" s="89">
        <v>-0.1</v>
      </c>
      <c r="N7" s="89">
        <v>0</v>
      </c>
      <c r="O7" s="89">
        <v>10</v>
      </c>
    </row>
    <row r="8" spans="1:15" ht="14.25" customHeight="1" x14ac:dyDescent="0.15">
      <c r="A8" s="6" t="s">
        <v>16</v>
      </c>
      <c r="B8" s="6">
        <v>1</v>
      </c>
      <c r="C8" s="89">
        <v>1.7284390000000001</v>
      </c>
      <c r="D8" s="89">
        <v>62.490200000000002</v>
      </c>
      <c r="E8" s="89">
        <v>67.27</v>
      </c>
      <c r="F8" s="89">
        <v>100.688</v>
      </c>
      <c r="G8" s="89">
        <v>22.63</v>
      </c>
      <c r="H8" s="89">
        <v>30.00291</v>
      </c>
      <c r="I8" s="89">
        <v>100.747</v>
      </c>
      <c r="J8" s="89">
        <v>20.98</v>
      </c>
      <c r="K8" s="89">
        <v>30</v>
      </c>
      <c r="L8" s="89">
        <v>-0.01</v>
      </c>
      <c r="M8" s="89">
        <v>-0.01</v>
      </c>
      <c r="N8" s="89">
        <v>0</v>
      </c>
      <c r="O8" s="89">
        <v>22</v>
      </c>
    </row>
    <row r="9" spans="1:15" ht="14.25" customHeight="1" x14ac:dyDescent="0.15">
      <c r="A9" s="6" t="s">
        <v>15</v>
      </c>
      <c r="B9" s="6">
        <v>1</v>
      </c>
      <c r="C9" s="89">
        <v>2.5119370000000001</v>
      </c>
      <c r="D9" s="89">
        <v>71.6203</v>
      </c>
      <c r="E9" s="89">
        <v>67.27</v>
      </c>
      <c r="F9" s="89">
        <v>100.548</v>
      </c>
      <c r="G9" s="89">
        <v>22.63</v>
      </c>
      <c r="H9" s="89">
        <v>49.973790000000001</v>
      </c>
      <c r="I9" s="89">
        <v>100.69499999999999</v>
      </c>
      <c r="J9" s="89">
        <v>20.99</v>
      </c>
      <c r="K9" s="89">
        <v>50</v>
      </c>
      <c r="L9" s="89">
        <v>0.05</v>
      </c>
      <c r="M9" s="89">
        <v>0.05</v>
      </c>
      <c r="N9" s="89">
        <v>0</v>
      </c>
      <c r="O9" s="89">
        <v>40</v>
      </c>
    </row>
    <row r="10" spans="1:15" ht="14.25" customHeight="1" x14ac:dyDescent="0.15">
      <c r="A10" s="6" t="s">
        <v>19</v>
      </c>
      <c r="B10" s="6">
        <v>1</v>
      </c>
      <c r="C10" s="89">
        <v>0.24410699999999999</v>
      </c>
      <c r="D10" s="89">
        <v>295.07839999999999</v>
      </c>
      <c r="E10" s="89">
        <v>67.34</v>
      </c>
      <c r="F10" s="89">
        <v>100.818</v>
      </c>
      <c r="G10" s="89">
        <v>22.63</v>
      </c>
      <c r="H10" s="89">
        <v>20.008489999999998</v>
      </c>
      <c r="I10" s="89">
        <v>100.785</v>
      </c>
      <c r="J10" s="89">
        <v>20.96</v>
      </c>
      <c r="K10" s="89">
        <v>20</v>
      </c>
      <c r="L10" s="89">
        <v>-0.04</v>
      </c>
      <c r="M10" s="89">
        <v>-0.04</v>
      </c>
      <c r="N10" s="89">
        <v>0</v>
      </c>
      <c r="O10" s="89">
        <v>2</v>
      </c>
    </row>
    <row r="11" spans="1:15" ht="14.25" customHeight="1" x14ac:dyDescent="0.15">
      <c r="A11" s="6" t="s">
        <v>18</v>
      </c>
      <c r="B11" s="6">
        <v>1</v>
      </c>
      <c r="C11" s="89">
        <v>0.495307</v>
      </c>
      <c r="D11" s="89">
        <v>145.35429999999999</v>
      </c>
      <c r="E11" s="89">
        <v>67.41</v>
      </c>
      <c r="F11" s="89">
        <v>100.804</v>
      </c>
      <c r="G11" s="89">
        <v>22.62</v>
      </c>
      <c r="H11" s="89">
        <v>19.9986</v>
      </c>
      <c r="I11" s="89">
        <v>100.779</v>
      </c>
      <c r="J11" s="89">
        <v>20.96</v>
      </c>
      <c r="K11" s="89">
        <v>20</v>
      </c>
      <c r="L11" s="89">
        <v>0.01</v>
      </c>
      <c r="M11" s="89">
        <v>0.01</v>
      </c>
      <c r="N11" s="89">
        <v>0</v>
      </c>
      <c r="O11" s="89">
        <v>4</v>
      </c>
    </row>
    <row r="12" spans="1:15" ht="14.25" customHeight="1" x14ac:dyDescent="0.15">
      <c r="A12" s="6" t="s">
        <v>17</v>
      </c>
      <c r="B12" s="6">
        <v>1</v>
      </c>
      <c r="C12" s="89">
        <v>0.99376699999999996</v>
      </c>
      <c r="D12" s="89">
        <v>72.490700000000004</v>
      </c>
      <c r="E12" s="89">
        <v>67.34</v>
      </c>
      <c r="F12" s="89">
        <v>100.773</v>
      </c>
      <c r="G12" s="89">
        <v>22.62</v>
      </c>
      <c r="H12" s="89">
        <v>20.0108</v>
      </c>
      <c r="I12" s="89">
        <v>100.774</v>
      </c>
      <c r="J12" s="89">
        <v>20.96</v>
      </c>
      <c r="K12" s="89">
        <v>20</v>
      </c>
      <c r="L12" s="89">
        <v>-0.05</v>
      </c>
      <c r="M12" s="89">
        <v>-0.05</v>
      </c>
      <c r="N12" s="89">
        <v>0</v>
      </c>
      <c r="O12" s="89">
        <v>10</v>
      </c>
    </row>
    <row r="13" spans="1:15" ht="14.25" customHeight="1" x14ac:dyDescent="0.15">
      <c r="A13" s="6" t="s">
        <v>16</v>
      </c>
      <c r="B13" s="6">
        <v>1</v>
      </c>
      <c r="C13" s="89">
        <v>1.7286330000000001</v>
      </c>
      <c r="D13" s="89">
        <v>62.507899999999999</v>
      </c>
      <c r="E13" s="89">
        <v>67.3</v>
      </c>
      <c r="F13" s="89">
        <v>100.69499999999999</v>
      </c>
      <c r="G13" s="89">
        <v>22.62</v>
      </c>
      <c r="H13" s="89">
        <v>30.014779999999998</v>
      </c>
      <c r="I13" s="89">
        <v>100.753</v>
      </c>
      <c r="J13" s="89">
        <v>20.97</v>
      </c>
      <c r="K13" s="89">
        <v>30</v>
      </c>
      <c r="L13" s="89">
        <v>-0.05</v>
      </c>
      <c r="M13" s="89">
        <v>-0.05</v>
      </c>
      <c r="N13" s="89">
        <v>0</v>
      </c>
      <c r="O13" s="89">
        <v>22</v>
      </c>
    </row>
    <row r="14" spans="1:15" ht="14.25" customHeight="1" x14ac:dyDescent="0.15">
      <c r="A14" s="6" t="s">
        <v>15</v>
      </c>
      <c r="B14" s="6">
        <v>1</v>
      </c>
      <c r="C14" s="89">
        <v>2.5125310000000001</v>
      </c>
      <c r="D14" s="89">
        <v>71.584800000000001</v>
      </c>
      <c r="E14" s="89">
        <v>67.38</v>
      </c>
      <c r="F14" s="89">
        <v>100.56699999999999</v>
      </c>
      <c r="G14" s="89">
        <v>22.61</v>
      </c>
      <c r="H14" s="89">
        <v>49.960850000000001</v>
      </c>
      <c r="I14" s="89">
        <v>100.714</v>
      </c>
      <c r="J14" s="89">
        <v>20.97</v>
      </c>
      <c r="K14" s="89">
        <v>50</v>
      </c>
      <c r="L14" s="89">
        <v>0.08</v>
      </c>
      <c r="M14" s="89">
        <v>0.08</v>
      </c>
      <c r="N14" s="89">
        <v>0</v>
      </c>
      <c r="O14" s="89">
        <v>41</v>
      </c>
    </row>
    <row r="15" spans="1:15" ht="14.25" customHeight="1" x14ac:dyDescent="0.15">
      <c r="A15" s="6" t="s">
        <v>19</v>
      </c>
      <c r="B15" s="6">
        <v>1</v>
      </c>
      <c r="C15" s="89">
        <v>0.244228</v>
      </c>
      <c r="D15" s="89">
        <v>294.88299999999998</v>
      </c>
      <c r="E15" s="89">
        <v>67.489999999999995</v>
      </c>
      <c r="F15" s="89">
        <v>100.863</v>
      </c>
      <c r="G15" s="89">
        <v>22.61</v>
      </c>
      <c r="H15" s="89">
        <v>20.005220000000001</v>
      </c>
      <c r="I15" s="89">
        <v>100.83</v>
      </c>
      <c r="J15" s="89">
        <v>20.95</v>
      </c>
      <c r="K15" s="89">
        <v>20</v>
      </c>
      <c r="L15" s="89">
        <v>-0.03</v>
      </c>
      <c r="M15" s="89">
        <v>-0.03</v>
      </c>
      <c r="N15" s="89">
        <v>0</v>
      </c>
      <c r="O15" s="89">
        <v>2</v>
      </c>
    </row>
    <row r="16" spans="1:15" ht="14.25" customHeight="1" x14ac:dyDescent="0.15">
      <c r="A16" s="6" t="s">
        <v>18</v>
      </c>
      <c r="B16" s="6">
        <v>1</v>
      </c>
      <c r="C16" s="89">
        <v>0.49549399999999999</v>
      </c>
      <c r="D16" s="89">
        <v>145.37200000000001</v>
      </c>
      <c r="E16" s="89">
        <v>67.290000000000006</v>
      </c>
      <c r="F16" s="89">
        <v>100.83799999999999</v>
      </c>
      <c r="G16" s="89">
        <v>22.6</v>
      </c>
      <c r="H16" s="89">
        <v>20.008610000000001</v>
      </c>
      <c r="I16" s="89">
        <v>100.813</v>
      </c>
      <c r="J16" s="89">
        <v>20.95</v>
      </c>
      <c r="K16" s="89">
        <v>20</v>
      </c>
      <c r="L16" s="89">
        <v>-0.04</v>
      </c>
      <c r="M16" s="89">
        <v>-0.04</v>
      </c>
      <c r="N16" s="89">
        <v>0</v>
      </c>
      <c r="O16" s="89">
        <v>4</v>
      </c>
    </row>
    <row r="17" spans="1:15" ht="14.25" customHeight="1" x14ac:dyDescent="0.15">
      <c r="A17" s="6" t="s">
        <v>17</v>
      </c>
      <c r="B17" s="6">
        <v>1</v>
      </c>
      <c r="C17" s="89">
        <v>0.99398900000000001</v>
      </c>
      <c r="D17" s="89">
        <v>72.472899999999996</v>
      </c>
      <c r="E17" s="89">
        <v>67.209999999999994</v>
      </c>
      <c r="F17" s="89">
        <v>100.791</v>
      </c>
      <c r="G17" s="89">
        <v>22.6</v>
      </c>
      <c r="H17" s="89">
        <v>20.010349999999999</v>
      </c>
      <c r="I17" s="89">
        <v>100.792</v>
      </c>
      <c r="J17" s="89">
        <v>20.96</v>
      </c>
      <c r="K17" s="89">
        <v>20</v>
      </c>
      <c r="L17" s="89">
        <v>-0.05</v>
      </c>
      <c r="M17" s="89">
        <v>-0.05</v>
      </c>
      <c r="N17" s="89">
        <v>0</v>
      </c>
      <c r="O17" s="89">
        <v>10</v>
      </c>
    </row>
    <row r="18" spans="1:15" ht="14.25" customHeight="1" x14ac:dyDescent="0.15">
      <c r="A18" s="6" t="s">
        <v>16</v>
      </c>
      <c r="B18" s="6">
        <v>1</v>
      </c>
      <c r="C18" s="89">
        <v>1.728812</v>
      </c>
      <c r="D18" s="89">
        <v>62.596699999999998</v>
      </c>
      <c r="E18" s="89">
        <v>67.19</v>
      </c>
      <c r="F18" s="89">
        <v>100.7</v>
      </c>
      <c r="G18" s="89">
        <v>22.59</v>
      </c>
      <c r="H18" s="89">
        <v>30.06053</v>
      </c>
      <c r="I18" s="89">
        <v>100.758</v>
      </c>
      <c r="J18" s="89">
        <v>20.96</v>
      </c>
      <c r="K18" s="89">
        <v>30</v>
      </c>
      <c r="L18" s="89">
        <v>-0.2</v>
      </c>
      <c r="M18" s="89">
        <v>-0.2</v>
      </c>
      <c r="N18" s="89">
        <v>0</v>
      </c>
      <c r="O18" s="89">
        <v>22</v>
      </c>
    </row>
    <row r="19" spans="1:15" ht="14.25" customHeight="1" x14ac:dyDescent="0.15">
      <c r="A19" s="6" t="s">
        <v>15</v>
      </c>
      <c r="B19" s="6">
        <v>1</v>
      </c>
      <c r="C19" s="89">
        <v>2.5125130000000002</v>
      </c>
      <c r="D19" s="89">
        <v>71.531499999999994</v>
      </c>
      <c r="E19" s="89">
        <v>67.180000000000007</v>
      </c>
      <c r="F19" s="89">
        <v>100.562</v>
      </c>
      <c r="G19" s="89">
        <v>22.59</v>
      </c>
      <c r="H19" s="89">
        <v>49.923290000000001</v>
      </c>
      <c r="I19" s="89">
        <v>100.708</v>
      </c>
      <c r="J19" s="89">
        <v>20.96</v>
      </c>
      <c r="K19" s="89">
        <v>50</v>
      </c>
      <c r="L19" s="89">
        <v>0.15</v>
      </c>
      <c r="M19" s="89">
        <v>0.15</v>
      </c>
      <c r="N19" s="89">
        <v>0</v>
      </c>
      <c r="O19" s="89">
        <v>40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F16" sqref="F16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>
        <v>2.5225960000000001</v>
      </c>
      <c r="D2" s="89">
        <v>71.353700000000003</v>
      </c>
      <c r="E2" s="89">
        <v>69.5</v>
      </c>
      <c r="F2" s="89">
        <v>101.07599999999999</v>
      </c>
      <c r="G2" s="89">
        <v>22.83</v>
      </c>
      <c r="H2" s="89">
        <v>49.999029999999998</v>
      </c>
      <c r="I2" s="89">
        <v>101.22199999999999</v>
      </c>
      <c r="J2" s="89">
        <v>21.76</v>
      </c>
      <c r="K2" s="89">
        <v>50</v>
      </c>
      <c r="L2" s="89">
        <v>0</v>
      </c>
      <c r="M2" s="89">
        <v>0.04</v>
      </c>
      <c r="N2" s="89">
        <v>0.08</v>
      </c>
      <c r="O2" s="6">
        <v>38</v>
      </c>
    </row>
    <row r="3" spans="1:15" x14ac:dyDescent="0.15">
      <c r="A3" s="28"/>
      <c r="B3" s="6">
        <v>2</v>
      </c>
      <c r="C3" s="89">
        <v>2.5225789999999999</v>
      </c>
      <c r="D3" s="89">
        <v>71.318200000000004</v>
      </c>
      <c r="E3" s="89">
        <v>69.42</v>
      </c>
      <c r="F3" s="89">
        <v>101.072</v>
      </c>
      <c r="G3" s="89">
        <v>22.82</v>
      </c>
      <c r="H3" s="89">
        <v>49.97383</v>
      </c>
      <c r="I3" s="89">
        <v>101.21899999999999</v>
      </c>
      <c r="J3" s="89">
        <v>21.75</v>
      </c>
      <c r="K3" s="89">
        <v>50</v>
      </c>
      <c r="L3" s="89">
        <v>0.05</v>
      </c>
      <c r="M3" s="89"/>
      <c r="N3" s="89"/>
      <c r="O3" s="6">
        <v>38</v>
      </c>
    </row>
    <row r="4" spans="1:15" x14ac:dyDescent="0.15">
      <c r="A4" s="28"/>
      <c r="B4" s="6">
        <v>3</v>
      </c>
      <c r="C4" s="89">
        <v>2.522634</v>
      </c>
      <c r="D4" s="89">
        <v>71.300399999999996</v>
      </c>
      <c r="E4" s="89">
        <v>69.33</v>
      </c>
      <c r="F4" s="89">
        <v>101.07299999999999</v>
      </c>
      <c r="G4" s="89">
        <v>22.82</v>
      </c>
      <c r="H4" s="89">
        <v>49.962440000000001</v>
      </c>
      <c r="I4" s="89">
        <v>101.218</v>
      </c>
      <c r="J4" s="89">
        <v>21.74</v>
      </c>
      <c r="K4" s="89">
        <v>50</v>
      </c>
      <c r="L4" s="89">
        <v>0.08</v>
      </c>
      <c r="M4" s="89"/>
      <c r="N4" s="89"/>
      <c r="O4" s="6">
        <v>38</v>
      </c>
    </row>
    <row r="5" spans="1:15" x14ac:dyDescent="0.15">
      <c r="A5" s="28" t="s">
        <v>87</v>
      </c>
      <c r="B5" s="6">
        <v>1</v>
      </c>
      <c r="C5" s="89">
        <v>0.24518799999999999</v>
      </c>
      <c r="D5" s="89">
        <v>293.79930000000002</v>
      </c>
      <c r="E5" s="89">
        <v>68.77</v>
      </c>
      <c r="F5" s="89">
        <v>101.358</v>
      </c>
      <c r="G5" s="89">
        <v>22.8</v>
      </c>
      <c r="H5" s="89">
        <v>20.010010000000001</v>
      </c>
      <c r="I5" s="89">
        <v>101.32599999999999</v>
      </c>
      <c r="J5" s="89">
        <v>21.71</v>
      </c>
      <c r="K5" s="89">
        <v>20</v>
      </c>
      <c r="L5" s="89">
        <v>-0.05</v>
      </c>
      <c r="M5" s="89">
        <v>-0.06</v>
      </c>
      <c r="N5" s="89">
        <v>0.01</v>
      </c>
      <c r="O5" s="6">
        <v>2</v>
      </c>
    </row>
    <row r="6" spans="1:15" x14ac:dyDescent="0.15">
      <c r="A6" s="6"/>
      <c r="B6" s="6">
        <v>2</v>
      </c>
      <c r="C6" s="89">
        <v>0.245195</v>
      </c>
      <c r="D6" s="89">
        <v>293.81700000000001</v>
      </c>
      <c r="E6" s="89">
        <v>68.27</v>
      </c>
      <c r="F6" s="89">
        <v>101.36</v>
      </c>
      <c r="G6" s="89">
        <v>22.78</v>
      </c>
      <c r="H6" s="89">
        <v>20.011759999999999</v>
      </c>
      <c r="I6" s="89">
        <v>101.327</v>
      </c>
      <c r="J6" s="89">
        <v>21.66</v>
      </c>
      <c r="K6" s="89">
        <v>20</v>
      </c>
      <c r="L6" s="89">
        <v>-0.06</v>
      </c>
      <c r="M6" s="89"/>
      <c r="N6" s="89"/>
      <c r="O6" s="6">
        <v>2</v>
      </c>
    </row>
    <row r="7" spans="1:15" x14ac:dyDescent="0.15">
      <c r="A7" s="28"/>
      <c r="B7" s="6">
        <v>3</v>
      </c>
      <c r="C7" s="89">
        <v>0.245202</v>
      </c>
      <c r="D7" s="89">
        <v>293.79939999999999</v>
      </c>
      <c r="E7" s="89">
        <v>68.040000000000006</v>
      </c>
      <c r="F7" s="89">
        <v>101.36199999999999</v>
      </c>
      <c r="G7" s="89">
        <v>22.76</v>
      </c>
      <c r="H7" s="89">
        <v>20.011140000000001</v>
      </c>
      <c r="I7" s="89">
        <v>101.32899999999999</v>
      </c>
      <c r="J7" s="89">
        <v>21.62</v>
      </c>
      <c r="K7" s="89">
        <v>20</v>
      </c>
      <c r="L7" s="89">
        <v>-0.06</v>
      </c>
      <c r="M7" s="89"/>
      <c r="N7" s="89"/>
      <c r="O7" s="42">
        <v>2</v>
      </c>
    </row>
    <row r="8" spans="1:15" x14ac:dyDescent="0.15">
      <c r="A8" s="28" t="s">
        <v>88</v>
      </c>
      <c r="B8" s="6">
        <v>1</v>
      </c>
      <c r="C8" s="89">
        <v>1.5753E-2</v>
      </c>
      <c r="D8" s="89">
        <v>2282.8420000000001</v>
      </c>
      <c r="E8" s="89">
        <v>67.8</v>
      </c>
      <c r="F8" s="89">
        <v>101.36499999999999</v>
      </c>
      <c r="G8" s="89">
        <v>22.68</v>
      </c>
      <c r="H8" s="89">
        <v>9.9893129999999992</v>
      </c>
      <c r="I8" s="89">
        <v>101.32899999999999</v>
      </c>
      <c r="J8" s="89">
        <v>21.45</v>
      </c>
      <c r="K8" s="89">
        <v>10</v>
      </c>
      <c r="L8" s="89">
        <v>0.11</v>
      </c>
      <c r="M8" s="89">
        <v>0.04</v>
      </c>
      <c r="N8" s="89">
        <v>0.18</v>
      </c>
      <c r="O8" s="6">
        <v>1</v>
      </c>
    </row>
    <row r="9" spans="1:15" x14ac:dyDescent="0.15">
      <c r="A9" s="28"/>
      <c r="B9" s="6">
        <v>2</v>
      </c>
      <c r="C9" s="89">
        <v>1.5751999999999999E-2</v>
      </c>
      <c r="D9" s="89">
        <v>2283.5340000000001</v>
      </c>
      <c r="E9" s="89">
        <v>67.95</v>
      </c>
      <c r="F9" s="89">
        <v>101.35599999999999</v>
      </c>
      <c r="G9" s="89">
        <v>22.61</v>
      </c>
      <c r="H9" s="89">
        <v>9.9919089999999997</v>
      </c>
      <c r="I9" s="89">
        <v>101.32</v>
      </c>
      <c r="J9" s="89">
        <v>21.23</v>
      </c>
      <c r="K9" s="89">
        <v>10</v>
      </c>
      <c r="L9" s="89">
        <v>0.08</v>
      </c>
      <c r="M9" s="89"/>
      <c r="N9" s="89"/>
      <c r="O9" s="6">
        <v>1</v>
      </c>
    </row>
    <row r="10" spans="1:15" x14ac:dyDescent="0.15">
      <c r="A10" s="28"/>
      <c r="B10" s="6">
        <v>3</v>
      </c>
      <c r="C10" s="89">
        <v>1.5747000000000001E-2</v>
      </c>
      <c r="D10" s="89">
        <v>2287.7800000000002</v>
      </c>
      <c r="E10" s="89">
        <v>68.16</v>
      </c>
      <c r="F10" s="89">
        <v>101.318</v>
      </c>
      <c r="G10" s="89">
        <v>22.56</v>
      </c>
      <c r="H10" s="89">
        <v>10.007250000000001</v>
      </c>
      <c r="I10" s="89">
        <v>101.282</v>
      </c>
      <c r="J10" s="89">
        <v>21.07</v>
      </c>
      <c r="K10" s="89">
        <v>10</v>
      </c>
      <c r="L10" s="89">
        <v>-7.0000000000000007E-2</v>
      </c>
      <c r="M10" s="89"/>
      <c r="N10" s="89"/>
      <c r="O10" s="6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8" sqref="E8"/>
    </sheetView>
  </sheetViews>
  <sheetFormatPr defaultRowHeight="14.25" x14ac:dyDescent="0.15"/>
  <cols>
    <col min="2" max="3" width="11.5" bestFit="1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98</v>
      </c>
      <c r="B1" s="32" t="s">
        <v>99</v>
      </c>
      <c r="C1" s="32" t="s">
        <v>100</v>
      </c>
      <c r="D1" s="32" t="s">
        <v>101</v>
      </c>
      <c r="E1" s="32" t="s">
        <v>102</v>
      </c>
      <c r="F1" s="32" t="s">
        <v>103</v>
      </c>
      <c r="G1" s="32" t="s">
        <v>104</v>
      </c>
      <c r="H1" s="32" t="s">
        <v>105</v>
      </c>
      <c r="I1" s="32" t="s">
        <v>106</v>
      </c>
      <c r="J1" s="32" t="s">
        <v>119</v>
      </c>
      <c r="K1" s="33" t="s">
        <v>107</v>
      </c>
      <c r="L1" s="33" t="s">
        <v>108</v>
      </c>
    </row>
    <row r="2" spans="1:12" ht="20.25" x14ac:dyDescent="0.25">
      <c r="A2" s="34">
        <v>128</v>
      </c>
      <c r="B2" s="43">
        <v>6.4804000000000004</v>
      </c>
      <c r="C2" s="43">
        <v>6.9034000000000004</v>
      </c>
      <c r="D2" s="34">
        <f>C2-B2</f>
        <v>0.42300000000000004</v>
      </c>
      <c r="E2" s="34">
        <v>2.5222000000000002</v>
      </c>
      <c r="F2" s="35">
        <v>0.37585648148148149</v>
      </c>
      <c r="G2" s="35">
        <v>0.38283564814814813</v>
      </c>
      <c r="H2" s="35">
        <f>G2-F2</f>
        <v>6.9791666666666474E-3</v>
      </c>
      <c r="I2" s="36">
        <f>(K2+L2/60)/60</f>
        <v>0.16750000000000001</v>
      </c>
      <c r="J2" s="41">
        <f>(D2-E2*I2)/(E2*I2)*100</f>
        <v>0.12580819635072496</v>
      </c>
      <c r="K2" s="37">
        <v>10</v>
      </c>
      <c r="L2" s="37">
        <v>3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4" sqref="C24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122</v>
      </c>
    </row>
    <row r="2" spans="1:7" x14ac:dyDescent="0.15">
      <c r="A2" t="s">
        <v>124</v>
      </c>
      <c r="B2" s="56"/>
    </row>
    <row r="3" spans="1:7" x14ac:dyDescent="0.15">
      <c r="A3" s="57" t="s">
        <v>125</v>
      </c>
      <c r="B3" s="57" t="s">
        <v>126</v>
      </c>
      <c r="C3" s="57" t="s">
        <v>127</v>
      </c>
      <c r="D3" s="57" t="s">
        <v>128</v>
      </c>
      <c r="E3" s="57" t="s">
        <v>129</v>
      </c>
      <c r="F3" s="57" t="s">
        <v>130</v>
      </c>
      <c r="G3" s="57" t="s">
        <v>131</v>
      </c>
    </row>
    <row r="4" spans="1:7" x14ac:dyDescent="0.15">
      <c r="A4" s="90" t="s">
        <v>132</v>
      </c>
      <c r="B4" s="58"/>
      <c r="C4" s="58"/>
      <c r="D4" s="58">
        <v>102.134</v>
      </c>
      <c r="E4" s="58">
        <v>38.729999999999997</v>
      </c>
      <c r="F4" s="58">
        <f t="shared" ref="F4:F9" si="0">C4*D4/101.325*293.15/(E4+273.15)</f>
        <v>0</v>
      </c>
      <c r="G4" s="59" t="e">
        <f t="shared" ref="G4:G9" si="1">B4/F4-1</f>
        <v>#DIV/0!</v>
      </c>
    </row>
    <row r="5" spans="1:7" x14ac:dyDescent="0.15">
      <c r="A5" s="90"/>
      <c r="B5" s="58"/>
      <c r="C5" s="58"/>
      <c r="D5" s="58">
        <v>102.126</v>
      </c>
      <c r="E5" s="58">
        <v>38.22</v>
      </c>
      <c r="F5" s="58">
        <f t="shared" si="0"/>
        <v>0</v>
      </c>
      <c r="G5" s="59" t="e">
        <f t="shared" si="1"/>
        <v>#DIV/0!</v>
      </c>
    </row>
    <row r="6" spans="1:7" x14ac:dyDescent="0.15">
      <c r="A6" s="90" t="s">
        <v>133</v>
      </c>
      <c r="B6" s="58"/>
      <c r="C6" s="58"/>
      <c r="D6" s="58">
        <v>102.17</v>
      </c>
      <c r="E6" s="58">
        <v>38.28</v>
      </c>
      <c r="F6" s="58">
        <f t="shared" si="0"/>
        <v>0</v>
      </c>
      <c r="G6" s="59" t="e">
        <f t="shared" si="1"/>
        <v>#DIV/0!</v>
      </c>
    </row>
    <row r="7" spans="1:7" x14ac:dyDescent="0.15">
      <c r="A7" s="90"/>
      <c r="B7" s="58"/>
      <c r="C7" s="58"/>
      <c r="D7" s="58">
        <v>102.17</v>
      </c>
      <c r="E7" s="58">
        <v>38.46</v>
      </c>
      <c r="F7" s="58">
        <f t="shared" si="0"/>
        <v>0</v>
      </c>
      <c r="G7" s="59" t="e">
        <f t="shared" si="1"/>
        <v>#DIV/0!</v>
      </c>
    </row>
    <row r="8" spans="1:7" x14ac:dyDescent="0.15">
      <c r="A8" s="90" t="s">
        <v>134</v>
      </c>
      <c r="B8" s="58"/>
      <c r="C8" s="58"/>
      <c r="D8" s="58">
        <v>102.188</v>
      </c>
      <c r="E8" s="58">
        <v>38.99</v>
      </c>
      <c r="F8" s="58">
        <f t="shared" si="0"/>
        <v>0</v>
      </c>
      <c r="G8" s="59" t="e">
        <f t="shared" si="1"/>
        <v>#DIV/0!</v>
      </c>
    </row>
    <row r="9" spans="1:7" x14ac:dyDescent="0.15">
      <c r="A9" s="90"/>
      <c r="B9" s="58"/>
      <c r="C9" s="58"/>
      <c r="D9" s="58">
        <v>102.184</v>
      </c>
      <c r="E9" s="58">
        <v>39.43</v>
      </c>
      <c r="F9" s="58">
        <f t="shared" si="0"/>
        <v>0</v>
      </c>
      <c r="G9" s="59" t="e">
        <f t="shared" si="1"/>
        <v>#DIV/0!</v>
      </c>
    </row>
    <row r="11" spans="1:7" x14ac:dyDescent="0.15">
      <c r="A11" t="s">
        <v>123</v>
      </c>
    </row>
    <row r="12" spans="1:7" x14ac:dyDescent="0.15">
      <c r="A12" t="s">
        <v>124</v>
      </c>
      <c r="B12" s="56"/>
    </row>
    <row r="13" spans="1:7" x14ac:dyDescent="0.15">
      <c r="A13" s="57" t="s">
        <v>125</v>
      </c>
      <c r="B13" s="57" t="s">
        <v>126</v>
      </c>
      <c r="C13" s="57" t="s">
        <v>127</v>
      </c>
      <c r="D13" s="57" t="s">
        <v>128</v>
      </c>
      <c r="E13" s="57" t="s">
        <v>129</v>
      </c>
      <c r="F13" s="57" t="s">
        <v>130</v>
      </c>
      <c r="G13" s="57" t="s">
        <v>131</v>
      </c>
    </row>
    <row r="14" spans="1:7" x14ac:dyDescent="0.15">
      <c r="A14" s="90" t="s">
        <v>132</v>
      </c>
      <c r="B14" s="58"/>
      <c r="C14" s="58"/>
      <c r="D14" s="58">
        <v>102.001</v>
      </c>
      <c r="E14" s="58">
        <v>-8.89</v>
      </c>
      <c r="F14" s="58">
        <f t="shared" ref="F14:F19" si="2">C14*D14/101.325*293.15/(E14+273.15)</f>
        <v>0</v>
      </c>
      <c r="G14" s="59" t="e">
        <f t="shared" ref="G14:G19" si="3">B14/F14-1</f>
        <v>#DIV/0!</v>
      </c>
    </row>
    <row r="15" spans="1:7" x14ac:dyDescent="0.15">
      <c r="A15" s="90"/>
      <c r="B15" s="58"/>
      <c r="C15" s="58"/>
      <c r="D15" s="58">
        <v>101.996</v>
      </c>
      <c r="E15" s="58">
        <v>-8.89</v>
      </c>
      <c r="F15" s="58">
        <f t="shared" si="2"/>
        <v>0</v>
      </c>
      <c r="G15" s="59" t="e">
        <f t="shared" si="3"/>
        <v>#DIV/0!</v>
      </c>
    </row>
    <row r="16" spans="1:7" x14ac:dyDescent="0.15">
      <c r="A16" s="90" t="s">
        <v>133</v>
      </c>
      <c r="B16" s="58"/>
      <c r="C16" s="58"/>
      <c r="D16" s="58">
        <v>102.02800000000001</v>
      </c>
      <c r="E16" s="58">
        <v>-8.91</v>
      </c>
      <c r="F16" s="58">
        <f t="shared" si="2"/>
        <v>0</v>
      </c>
      <c r="G16" s="59" t="e">
        <f t="shared" si="3"/>
        <v>#DIV/0!</v>
      </c>
    </row>
    <row r="17" spans="1:7" x14ac:dyDescent="0.15">
      <c r="A17" s="90"/>
      <c r="B17" s="58"/>
      <c r="C17" s="58"/>
      <c r="D17" s="58">
        <v>102.015</v>
      </c>
      <c r="E17" s="58">
        <v>-8.92</v>
      </c>
      <c r="F17" s="58">
        <f t="shared" si="2"/>
        <v>0</v>
      </c>
      <c r="G17" s="59" t="e">
        <f t="shared" si="3"/>
        <v>#DIV/0!</v>
      </c>
    </row>
    <row r="18" spans="1:7" x14ac:dyDescent="0.15">
      <c r="A18" s="90" t="s">
        <v>134</v>
      </c>
      <c r="B18" s="58"/>
      <c r="C18" s="58"/>
      <c r="D18" s="58">
        <v>102.059</v>
      </c>
      <c r="E18" s="58">
        <v>-8.92</v>
      </c>
      <c r="F18" s="58">
        <f t="shared" si="2"/>
        <v>0</v>
      </c>
      <c r="G18" s="59" t="e">
        <f t="shared" si="3"/>
        <v>#DIV/0!</v>
      </c>
    </row>
    <row r="19" spans="1:7" x14ac:dyDescent="0.15">
      <c r="A19" s="90"/>
      <c r="B19" s="58"/>
      <c r="C19" s="58"/>
      <c r="D19" s="58">
        <v>102.068</v>
      </c>
      <c r="E19" s="58">
        <v>-8.93</v>
      </c>
      <c r="F19" s="58">
        <f t="shared" si="2"/>
        <v>0</v>
      </c>
      <c r="G19" s="59" t="e">
        <f t="shared" si="3"/>
        <v>#DIV/0!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F12" sqref="F12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6" t="s">
        <v>15</v>
      </c>
      <c r="B2" s="66">
        <v>1</v>
      </c>
      <c r="C2" s="66">
        <v>2.5527669999999998</v>
      </c>
      <c r="D2" s="66">
        <v>70.501199999999997</v>
      </c>
      <c r="E2" s="66">
        <v>58.54</v>
      </c>
      <c r="F2" s="66">
        <v>101.89400000000001</v>
      </c>
      <c r="G2" s="66">
        <v>20.61</v>
      </c>
      <c r="H2" s="66">
        <v>49.992539999999998</v>
      </c>
      <c r="I2" s="66">
        <v>102.04300000000001</v>
      </c>
      <c r="J2" s="66">
        <v>20.43</v>
      </c>
      <c r="K2" s="66">
        <v>50</v>
      </c>
      <c r="L2" s="66">
        <v>0.01</v>
      </c>
      <c r="M2" s="66">
        <v>0.01</v>
      </c>
      <c r="N2" s="66">
        <v>0</v>
      </c>
      <c r="O2" s="66">
        <v>40</v>
      </c>
    </row>
    <row r="3" spans="1:15" x14ac:dyDescent="0.15">
      <c r="A3" s="66" t="s">
        <v>18</v>
      </c>
      <c r="B3" s="66">
        <v>1</v>
      </c>
      <c r="C3" s="66">
        <v>0.50336000000000003</v>
      </c>
      <c r="D3" s="66">
        <v>143.00960000000001</v>
      </c>
      <c r="E3" s="66">
        <v>59.76</v>
      </c>
      <c r="F3" s="66">
        <v>102.15900000000001</v>
      </c>
      <c r="G3" s="66">
        <v>20.63</v>
      </c>
      <c r="H3" s="66">
        <v>19.995930000000001</v>
      </c>
      <c r="I3" s="66">
        <v>102.13500000000001</v>
      </c>
      <c r="J3" s="66">
        <v>20.420000000000002</v>
      </c>
      <c r="K3" s="66">
        <v>20</v>
      </c>
      <c r="L3" s="66">
        <v>0.02</v>
      </c>
      <c r="M3" s="66">
        <v>0.02</v>
      </c>
      <c r="N3" s="66">
        <v>0</v>
      </c>
      <c r="O3" s="66">
        <v>4</v>
      </c>
    </row>
    <row r="4" spans="1:15" x14ac:dyDescent="0.15">
      <c r="A4" s="66" t="s">
        <v>20</v>
      </c>
      <c r="B4" s="66">
        <v>1</v>
      </c>
      <c r="C4" s="66">
        <v>1.5928999999999999E-2</v>
      </c>
      <c r="D4" s="66">
        <v>2255.9859999999999</v>
      </c>
      <c r="E4" s="66">
        <v>62.87</v>
      </c>
      <c r="F4" s="66">
        <v>102.172</v>
      </c>
      <c r="G4" s="66">
        <v>20.73</v>
      </c>
      <c r="H4" s="66">
        <v>9.9822310000000005</v>
      </c>
      <c r="I4" s="66">
        <v>102.136</v>
      </c>
      <c r="J4" s="66">
        <v>20.45</v>
      </c>
      <c r="K4" s="66">
        <v>10</v>
      </c>
      <c r="L4" s="66">
        <v>0.18</v>
      </c>
      <c r="M4" s="66">
        <v>0.18</v>
      </c>
      <c r="N4" s="66">
        <v>0</v>
      </c>
      <c r="O4" s="66">
        <v>2</v>
      </c>
    </row>
    <row r="5" spans="1:15" x14ac:dyDescent="0.15">
      <c r="A5" s="66" t="s">
        <v>15</v>
      </c>
      <c r="B5" s="66">
        <v>1</v>
      </c>
      <c r="C5" s="66">
        <v>2.5513499999999998</v>
      </c>
      <c r="D5" s="66">
        <v>70.412300000000002</v>
      </c>
      <c r="E5" s="66">
        <v>63.53</v>
      </c>
      <c r="F5" s="66">
        <v>101.857</v>
      </c>
      <c r="G5" s="66">
        <v>20.81</v>
      </c>
      <c r="H5" s="66">
        <v>49.901780000000002</v>
      </c>
      <c r="I5" s="66">
        <v>102.00700000000001</v>
      </c>
      <c r="J5" s="66">
        <v>20.49</v>
      </c>
      <c r="K5" s="66">
        <v>50</v>
      </c>
      <c r="L5" s="66">
        <v>0.2</v>
      </c>
      <c r="M5" s="66">
        <v>0.2</v>
      </c>
      <c r="N5" s="66">
        <v>0</v>
      </c>
      <c r="O5" s="66">
        <v>40</v>
      </c>
    </row>
    <row r="6" spans="1:15" x14ac:dyDescent="0.15">
      <c r="A6" s="66" t="s">
        <v>18</v>
      </c>
      <c r="B6" s="66">
        <v>1</v>
      </c>
      <c r="C6" s="66">
        <v>0.50312299999999999</v>
      </c>
      <c r="D6" s="66">
        <v>142.8852</v>
      </c>
      <c r="E6" s="66">
        <v>64.959999999999994</v>
      </c>
      <c r="F6" s="66">
        <v>102.127</v>
      </c>
      <c r="G6" s="66">
        <v>20.83</v>
      </c>
      <c r="H6" s="66">
        <v>19.96913</v>
      </c>
      <c r="I6" s="66">
        <v>102.104</v>
      </c>
      <c r="J6" s="66">
        <v>20.49</v>
      </c>
      <c r="K6" s="66">
        <v>20</v>
      </c>
      <c r="L6" s="66">
        <v>0.15</v>
      </c>
      <c r="M6" s="66">
        <v>0.15</v>
      </c>
      <c r="N6" s="66">
        <v>0</v>
      </c>
      <c r="O6" s="66">
        <v>4</v>
      </c>
    </row>
    <row r="7" spans="1:15" x14ac:dyDescent="0.15">
      <c r="A7" s="66" t="s">
        <v>20</v>
      </c>
      <c r="B7" s="66">
        <v>1</v>
      </c>
      <c r="C7" s="66">
        <v>1.5913E-2</v>
      </c>
      <c r="D7" s="66">
        <v>2256.0920000000001</v>
      </c>
      <c r="E7" s="66">
        <v>62.17</v>
      </c>
      <c r="F7" s="66">
        <v>102.108</v>
      </c>
      <c r="G7" s="66">
        <v>20.92</v>
      </c>
      <c r="H7" s="66">
        <v>9.9726330000000001</v>
      </c>
      <c r="I7" s="66">
        <v>102.072</v>
      </c>
      <c r="J7" s="66">
        <v>20.48</v>
      </c>
      <c r="K7" s="66">
        <v>10</v>
      </c>
      <c r="L7" s="66">
        <v>0.27</v>
      </c>
      <c r="M7" s="66">
        <v>0.27</v>
      </c>
      <c r="N7" s="66">
        <v>0</v>
      </c>
      <c r="O7" s="66">
        <v>2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J21" sqref="J21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6" t="s">
        <v>15</v>
      </c>
      <c r="B2" s="66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Q2" s="67" t="s">
        <v>158</v>
      </c>
    </row>
    <row r="3" spans="1:17" x14ac:dyDescent="0.15">
      <c r="A3" s="66" t="s">
        <v>17</v>
      </c>
      <c r="B3" s="66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x14ac:dyDescent="0.15">
      <c r="A4" s="66" t="s">
        <v>159</v>
      </c>
      <c r="B4" s="66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1:17" x14ac:dyDescent="0.15">
      <c r="A5" s="66" t="s">
        <v>15</v>
      </c>
      <c r="B5" s="66">
        <v>1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1:17" x14ac:dyDescent="0.15">
      <c r="A6" s="66" t="s">
        <v>17</v>
      </c>
      <c r="B6" s="66">
        <v>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</row>
    <row r="7" spans="1:17" x14ac:dyDescent="0.15">
      <c r="A7" s="66" t="s">
        <v>159</v>
      </c>
      <c r="B7" s="66">
        <v>1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9" spans="1:17" x14ac:dyDescent="0.15">
      <c r="A9" s="66" t="s">
        <v>15</v>
      </c>
      <c r="B9" s="66">
        <v>1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Q9" s="67" t="s">
        <v>160</v>
      </c>
    </row>
    <row r="10" spans="1:17" x14ac:dyDescent="0.15">
      <c r="A10" s="66" t="s">
        <v>17</v>
      </c>
      <c r="B10" s="66">
        <v>1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7" x14ac:dyDescent="0.15">
      <c r="A11" s="66" t="s">
        <v>159</v>
      </c>
      <c r="B11" s="66">
        <v>1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7" x14ac:dyDescent="0.15">
      <c r="A12" s="66" t="s">
        <v>15</v>
      </c>
      <c r="B12" s="66">
        <v>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7" x14ac:dyDescent="0.15">
      <c r="A13" s="66" t="s">
        <v>17</v>
      </c>
      <c r="B13" s="66">
        <v>1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1:17" x14ac:dyDescent="0.15">
      <c r="A14" s="66" t="s">
        <v>159</v>
      </c>
      <c r="B14" s="66">
        <v>1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F25" sqref="F25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>
        <v>2.5344899999999999</v>
      </c>
      <c r="D2">
        <v>71.140199999999993</v>
      </c>
      <c r="E2">
        <v>62.7</v>
      </c>
      <c r="F2">
        <v>100.97</v>
      </c>
      <c r="G2">
        <v>19.28</v>
      </c>
      <c r="H2">
        <v>50.084470000000003</v>
      </c>
      <c r="I2">
        <v>100.94</v>
      </c>
      <c r="J2">
        <v>19.97</v>
      </c>
      <c r="K2">
        <v>50</v>
      </c>
      <c r="L2">
        <v>-0.17</v>
      </c>
      <c r="M2">
        <v>-0.17</v>
      </c>
      <c r="N2">
        <v>0</v>
      </c>
      <c r="O2">
        <v>37</v>
      </c>
    </row>
    <row r="3" spans="1:15" x14ac:dyDescent="0.15">
      <c r="A3" s="6" t="s">
        <v>16</v>
      </c>
      <c r="B3" s="6">
        <v>1</v>
      </c>
      <c r="C3">
        <v>1.7439739999999999</v>
      </c>
      <c r="D3">
        <v>61.974600000000002</v>
      </c>
      <c r="E3">
        <v>62.06</v>
      </c>
      <c r="F3">
        <v>101.10299999999999</v>
      </c>
      <c r="G3">
        <v>19.29</v>
      </c>
      <c r="H3">
        <v>30.0228</v>
      </c>
      <c r="I3">
        <v>101.04300000000001</v>
      </c>
      <c r="J3">
        <v>19.97</v>
      </c>
      <c r="K3">
        <v>30</v>
      </c>
      <c r="L3">
        <v>-0.08</v>
      </c>
      <c r="M3">
        <v>-0.08</v>
      </c>
      <c r="N3">
        <v>0</v>
      </c>
      <c r="O3">
        <v>20</v>
      </c>
    </row>
    <row r="4" spans="1:15" x14ac:dyDescent="0.15">
      <c r="A4" s="6" t="s">
        <v>17</v>
      </c>
      <c r="B4" s="6">
        <v>1</v>
      </c>
      <c r="C4">
        <v>1.0026870000000001</v>
      </c>
      <c r="D4">
        <v>71.868499999999997</v>
      </c>
      <c r="E4">
        <v>61.55</v>
      </c>
      <c r="F4">
        <v>101.19199999999999</v>
      </c>
      <c r="G4">
        <v>19.29</v>
      </c>
      <c r="H4">
        <v>20.017109999999999</v>
      </c>
      <c r="I4">
        <v>101.114</v>
      </c>
      <c r="J4">
        <v>19.98</v>
      </c>
      <c r="K4">
        <v>20</v>
      </c>
      <c r="L4">
        <v>-0.09</v>
      </c>
      <c r="M4">
        <v>-0.09</v>
      </c>
      <c r="N4">
        <v>0</v>
      </c>
      <c r="O4">
        <v>8</v>
      </c>
    </row>
    <row r="5" spans="1:15" x14ac:dyDescent="0.15">
      <c r="A5" s="6" t="s">
        <v>18</v>
      </c>
      <c r="B5" s="6">
        <v>1</v>
      </c>
      <c r="C5">
        <v>0.49973299999999998</v>
      </c>
      <c r="D5">
        <v>144.19900000000001</v>
      </c>
      <c r="E5">
        <v>61.07</v>
      </c>
      <c r="F5">
        <v>101.22799999999999</v>
      </c>
      <c r="G5">
        <v>19.3</v>
      </c>
      <c r="H5">
        <v>20.016960000000001</v>
      </c>
      <c r="I5">
        <v>101.142</v>
      </c>
      <c r="J5">
        <v>19.97</v>
      </c>
      <c r="K5">
        <v>20</v>
      </c>
      <c r="L5">
        <v>-0.08</v>
      </c>
      <c r="M5">
        <v>-0.08</v>
      </c>
      <c r="N5">
        <v>0</v>
      </c>
      <c r="O5">
        <v>3</v>
      </c>
    </row>
    <row r="6" spans="1:15" x14ac:dyDescent="0.15">
      <c r="A6" s="6" t="s">
        <v>19</v>
      </c>
      <c r="B6" s="6">
        <v>1</v>
      </c>
      <c r="C6">
        <v>0.24625</v>
      </c>
      <c r="D6">
        <v>292.58999999999997</v>
      </c>
      <c r="E6">
        <v>60.78</v>
      </c>
      <c r="F6">
        <v>101.23699999999999</v>
      </c>
      <c r="G6">
        <v>19.32</v>
      </c>
      <c r="H6">
        <v>20.013999999999999</v>
      </c>
      <c r="I6">
        <v>101.149</v>
      </c>
      <c r="J6">
        <v>19.98</v>
      </c>
      <c r="K6">
        <v>20</v>
      </c>
      <c r="L6">
        <v>-7.0000000000000007E-2</v>
      </c>
      <c r="M6">
        <v>-7.0000000000000007E-2</v>
      </c>
      <c r="N6">
        <v>0</v>
      </c>
      <c r="O6">
        <v>2</v>
      </c>
    </row>
    <row r="7" spans="1:15" x14ac:dyDescent="0.15">
      <c r="A7" s="6" t="s">
        <v>15</v>
      </c>
      <c r="B7" s="6">
        <v>1</v>
      </c>
      <c r="C7">
        <v>2.5341480000000001</v>
      </c>
      <c r="D7">
        <v>71.016000000000005</v>
      </c>
      <c r="E7">
        <v>64</v>
      </c>
      <c r="F7">
        <v>100.956</v>
      </c>
      <c r="G7">
        <v>19.329999999999998</v>
      </c>
      <c r="H7">
        <v>49.990290000000002</v>
      </c>
      <c r="I7">
        <v>100.926</v>
      </c>
      <c r="J7">
        <v>20</v>
      </c>
      <c r="K7">
        <v>50</v>
      </c>
      <c r="L7">
        <v>0.02</v>
      </c>
      <c r="M7">
        <v>0.02</v>
      </c>
      <c r="N7">
        <v>0</v>
      </c>
      <c r="O7">
        <v>37</v>
      </c>
    </row>
    <row r="8" spans="1:15" x14ac:dyDescent="0.15">
      <c r="A8" s="6" t="s">
        <v>16</v>
      </c>
      <c r="B8" s="6">
        <v>1</v>
      </c>
      <c r="C8">
        <v>1.7439819999999999</v>
      </c>
      <c r="D8">
        <v>61.992400000000004</v>
      </c>
      <c r="E8">
        <v>66.959999999999994</v>
      </c>
      <c r="F8">
        <v>101.095</v>
      </c>
      <c r="G8">
        <v>19.350000000000001</v>
      </c>
      <c r="H8">
        <v>30.031569999999999</v>
      </c>
      <c r="I8">
        <v>101.03700000000001</v>
      </c>
      <c r="J8">
        <v>20</v>
      </c>
      <c r="K8">
        <v>30</v>
      </c>
      <c r="L8">
        <v>-0.11</v>
      </c>
      <c r="M8">
        <v>-0.11</v>
      </c>
      <c r="N8">
        <v>0</v>
      </c>
      <c r="O8">
        <v>20</v>
      </c>
    </row>
    <row r="9" spans="1:15" x14ac:dyDescent="0.15">
      <c r="A9" s="6" t="s">
        <v>17</v>
      </c>
      <c r="B9" s="6">
        <v>1</v>
      </c>
      <c r="C9">
        <v>1.0027680000000001</v>
      </c>
      <c r="D9">
        <v>71.726500000000001</v>
      </c>
      <c r="E9">
        <v>70.11</v>
      </c>
      <c r="F9">
        <v>101.182</v>
      </c>
      <c r="G9">
        <v>19.36</v>
      </c>
      <c r="H9">
        <v>19.979179999999999</v>
      </c>
      <c r="I9">
        <v>101.10299999999999</v>
      </c>
      <c r="J9">
        <v>20</v>
      </c>
      <c r="K9">
        <v>20</v>
      </c>
      <c r="L9">
        <v>0.1</v>
      </c>
      <c r="M9">
        <v>0.1</v>
      </c>
      <c r="N9">
        <v>0</v>
      </c>
      <c r="O9">
        <v>8</v>
      </c>
    </row>
    <row r="10" spans="1:15" x14ac:dyDescent="0.15">
      <c r="A10" s="6" t="s">
        <v>18</v>
      </c>
      <c r="B10" s="6">
        <v>1</v>
      </c>
      <c r="C10">
        <v>0.49985800000000002</v>
      </c>
      <c r="D10">
        <v>143.84379999999999</v>
      </c>
      <c r="E10">
        <v>73.33</v>
      </c>
      <c r="F10">
        <v>101.22</v>
      </c>
      <c r="G10">
        <v>19.37</v>
      </c>
      <c r="H10">
        <v>19.972650000000002</v>
      </c>
      <c r="I10">
        <v>101.134</v>
      </c>
      <c r="J10">
        <v>20</v>
      </c>
      <c r="K10">
        <v>20</v>
      </c>
      <c r="L10">
        <v>0.14000000000000001</v>
      </c>
      <c r="M10">
        <v>0.14000000000000001</v>
      </c>
      <c r="N10">
        <v>0</v>
      </c>
      <c r="O10">
        <v>3</v>
      </c>
    </row>
    <row r="11" spans="1:15" x14ac:dyDescent="0.15">
      <c r="A11" s="6" t="s">
        <v>19</v>
      </c>
      <c r="B11" s="6">
        <v>1</v>
      </c>
      <c r="C11">
        <v>0.24635399999999999</v>
      </c>
      <c r="D11">
        <v>291.9683</v>
      </c>
      <c r="E11">
        <v>77.319999999999993</v>
      </c>
      <c r="F11">
        <v>101.233</v>
      </c>
      <c r="G11">
        <v>19.41</v>
      </c>
      <c r="H11">
        <v>19.979890000000001</v>
      </c>
      <c r="I11">
        <v>101.145</v>
      </c>
      <c r="J11">
        <v>20.03</v>
      </c>
      <c r="K11">
        <v>20</v>
      </c>
      <c r="L11">
        <v>0.1</v>
      </c>
      <c r="M11">
        <v>0.1</v>
      </c>
      <c r="N11">
        <v>0</v>
      </c>
      <c r="O11">
        <v>1</v>
      </c>
    </row>
    <row r="12" spans="1:15" x14ac:dyDescent="0.15">
      <c r="A12" s="6" t="s">
        <v>15</v>
      </c>
      <c r="B12" s="6">
        <v>1</v>
      </c>
      <c r="C12">
        <v>2.53464</v>
      </c>
      <c r="D12">
        <v>70.980400000000003</v>
      </c>
      <c r="E12">
        <v>78.36</v>
      </c>
      <c r="F12">
        <v>100.946</v>
      </c>
      <c r="G12">
        <v>19.420000000000002</v>
      </c>
      <c r="H12">
        <v>49.974930000000001</v>
      </c>
      <c r="I12">
        <v>100.916</v>
      </c>
      <c r="J12">
        <v>20.07</v>
      </c>
      <c r="K12">
        <v>50</v>
      </c>
      <c r="L12">
        <v>0.05</v>
      </c>
      <c r="M12">
        <v>0.05</v>
      </c>
      <c r="N12">
        <v>0</v>
      </c>
      <c r="O12">
        <v>37</v>
      </c>
    </row>
    <row r="13" spans="1:15" x14ac:dyDescent="0.15">
      <c r="A13" s="6" t="s">
        <v>16</v>
      </c>
      <c r="B13" s="6">
        <v>1</v>
      </c>
      <c r="C13">
        <v>1.744024</v>
      </c>
      <c r="D13">
        <v>61.921399999999998</v>
      </c>
      <c r="E13">
        <v>78.37</v>
      </c>
      <c r="F13">
        <v>101.086</v>
      </c>
      <c r="G13">
        <v>19.440000000000001</v>
      </c>
      <c r="H13">
        <v>29.997890000000002</v>
      </c>
      <c r="I13">
        <v>101.02800000000001</v>
      </c>
      <c r="J13">
        <v>20.079999999999998</v>
      </c>
      <c r="K13">
        <v>30</v>
      </c>
      <c r="L13">
        <v>0.01</v>
      </c>
      <c r="M13">
        <v>0.01</v>
      </c>
      <c r="N13">
        <v>0</v>
      </c>
      <c r="O13">
        <v>20</v>
      </c>
    </row>
    <row r="14" spans="1:15" x14ac:dyDescent="0.15">
      <c r="A14" s="6" t="s">
        <v>17</v>
      </c>
      <c r="B14" s="6">
        <v>1</v>
      </c>
      <c r="C14">
        <v>1.002707</v>
      </c>
      <c r="D14">
        <v>71.726500000000001</v>
      </c>
      <c r="E14">
        <v>78.17</v>
      </c>
      <c r="F14">
        <v>101.176</v>
      </c>
      <c r="G14">
        <v>19.46</v>
      </c>
      <c r="H14">
        <v>19.977959999999999</v>
      </c>
      <c r="I14">
        <v>101.098</v>
      </c>
      <c r="J14">
        <v>20.079999999999998</v>
      </c>
      <c r="K14">
        <v>20</v>
      </c>
      <c r="L14">
        <v>0.11</v>
      </c>
      <c r="M14">
        <v>0.11</v>
      </c>
      <c r="N14">
        <v>0</v>
      </c>
      <c r="O14">
        <v>8</v>
      </c>
    </row>
    <row r="15" spans="1:15" x14ac:dyDescent="0.15">
      <c r="A15" s="6" t="s">
        <v>18</v>
      </c>
      <c r="B15" s="6">
        <v>1</v>
      </c>
      <c r="C15">
        <v>0.49975900000000001</v>
      </c>
      <c r="D15">
        <v>143.91470000000001</v>
      </c>
      <c r="E15">
        <v>77.319999999999993</v>
      </c>
      <c r="F15">
        <v>101.212</v>
      </c>
      <c r="G15">
        <v>19.47</v>
      </c>
      <c r="H15">
        <v>19.97851</v>
      </c>
      <c r="I15">
        <v>101.127</v>
      </c>
      <c r="J15">
        <v>20.09</v>
      </c>
      <c r="K15">
        <v>20</v>
      </c>
      <c r="L15">
        <v>0.11</v>
      </c>
      <c r="M15">
        <v>0.11</v>
      </c>
      <c r="N15">
        <v>0</v>
      </c>
      <c r="O15">
        <v>3</v>
      </c>
    </row>
    <row r="16" spans="1:15" x14ac:dyDescent="0.15">
      <c r="A16" s="6" t="s">
        <v>19</v>
      </c>
      <c r="B16" s="6">
        <v>1</v>
      </c>
      <c r="C16">
        <v>0.24623999999999999</v>
      </c>
      <c r="D16">
        <v>292.21699999999998</v>
      </c>
      <c r="E16">
        <v>74.12</v>
      </c>
      <c r="F16">
        <v>101.221</v>
      </c>
      <c r="G16">
        <v>19.52</v>
      </c>
      <c r="H16">
        <v>19.987670000000001</v>
      </c>
      <c r="I16">
        <v>101.133</v>
      </c>
      <c r="J16">
        <v>20.11</v>
      </c>
      <c r="K16">
        <v>20</v>
      </c>
      <c r="L16">
        <v>0.06</v>
      </c>
      <c r="M16">
        <v>0.06</v>
      </c>
      <c r="N16">
        <v>0</v>
      </c>
      <c r="O16">
        <v>2</v>
      </c>
    </row>
    <row r="17" spans="1:15" x14ac:dyDescent="0.15">
      <c r="A17" s="25" t="s">
        <v>72</v>
      </c>
      <c r="B17" s="6">
        <v>1</v>
      </c>
      <c r="C17">
        <v>0.164105</v>
      </c>
      <c r="D17">
        <v>437.96129999999999</v>
      </c>
      <c r="E17">
        <v>70.209999999999994</v>
      </c>
      <c r="F17">
        <v>101.218</v>
      </c>
      <c r="G17">
        <v>19.559999999999999</v>
      </c>
      <c r="H17">
        <v>19.96433</v>
      </c>
      <c r="I17">
        <v>101.145</v>
      </c>
      <c r="J17">
        <v>20.14</v>
      </c>
      <c r="K17">
        <v>20</v>
      </c>
      <c r="L17">
        <v>0.18</v>
      </c>
      <c r="M17">
        <v>0.18</v>
      </c>
      <c r="N17">
        <v>0</v>
      </c>
      <c r="O17">
        <v>0</v>
      </c>
    </row>
    <row r="18" spans="1:15" x14ac:dyDescent="0.15">
      <c r="A18" s="25" t="s">
        <v>73</v>
      </c>
      <c r="B18" s="6">
        <v>1</v>
      </c>
      <c r="C18">
        <v>8.2485000000000003E-2</v>
      </c>
      <c r="D18">
        <v>436.91329999999999</v>
      </c>
      <c r="E18">
        <v>66.48</v>
      </c>
      <c r="F18">
        <v>101.214</v>
      </c>
      <c r="G18">
        <v>19.63</v>
      </c>
      <c r="H18">
        <v>10.01075</v>
      </c>
      <c r="I18">
        <v>101.133</v>
      </c>
      <c r="J18">
        <v>20.16</v>
      </c>
      <c r="K18">
        <v>10</v>
      </c>
      <c r="L18">
        <v>-0.11</v>
      </c>
      <c r="M18">
        <v>-0.11</v>
      </c>
      <c r="N18">
        <v>0</v>
      </c>
      <c r="O18">
        <v>0</v>
      </c>
    </row>
    <row r="19" spans="1:15" x14ac:dyDescent="0.15">
      <c r="A19" s="25" t="s">
        <v>74</v>
      </c>
      <c r="B19" s="6">
        <v>1</v>
      </c>
      <c r="C19">
        <v>1.5800000000000002E-2</v>
      </c>
      <c r="D19">
        <v>2274.3580000000002</v>
      </c>
      <c r="E19">
        <v>60.36</v>
      </c>
      <c r="F19">
        <v>101.19</v>
      </c>
      <c r="G19">
        <v>19.87</v>
      </c>
      <c r="H19">
        <v>9.9818850000000001</v>
      </c>
      <c r="I19">
        <v>101.102</v>
      </c>
      <c r="J19">
        <v>20.21</v>
      </c>
      <c r="K19">
        <v>10</v>
      </c>
      <c r="L19">
        <v>0.18</v>
      </c>
      <c r="M19">
        <v>0.18</v>
      </c>
      <c r="N19">
        <v>0</v>
      </c>
      <c r="O19">
        <v>0</v>
      </c>
    </row>
    <row r="20" spans="1:15" x14ac:dyDescent="0.15">
      <c r="A20" s="25" t="s">
        <v>72</v>
      </c>
      <c r="B20" s="6">
        <v>1</v>
      </c>
      <c r="C20">
        <v>0.163854</v>
      </c>
      <c r="D20">
        <v>439.47109999999998</v>
      </c>
      <c r="E20">
        <v>59.48</v>
      </c>
      <c r="F20">
        <v>101.19199999999999</v>
      </c>
      <c r="G20">
        <v>20.05</v>
      </c>
      <c r="H20">
        <v>20.00254</v>
      </c>
      <c r="I20">
        <v>101.119</v>
      </c>
      <c r="J20">
        <v>20.27</v>
      </c>
      <c r="K20">
        <v>20</v>
      </c>
      <c r="L20">
        <v>-0.01</v>
      </c>
      <c r="M20">
        <v>-0.01</v>
      </c>
      <c r="N20">
        <v>0</v>
      </c>
      <c r="O20">
        <v>0</v>
      </c>
    </row>
    <row r="21" spans="1:15" x14ac:dyDescent="0.15">
      <c r="A21" s="25" t="s">
        <v>73</v>
      </c>
      <c r="B21" s="6">
        <v>1</v>
      </c>
      <c r="C21">
        <v>8.2418000000000005E-2</v>
      </c>
      <c r="D21">
        <v>437.41059999999999</v>
      </c>
      <c r="E21">
        <v>70.819999999999993</v>
      </c>
      <c r="F21">
        <v>101.20399999999999</v>
      </c>
      <c r="G21">
        <v>20.100000000000001</v>
      </c>
      <c r="H21">
        <v>10.014049999999999</v>
      </c>
      <c r="I21">
        <v>101.124</v>
      </c>
      <c r="J21">
        <v>20.260000000000002</v>
      </c>
      <c r="K21">
        <v>10</v>
      </c>
      <c r="L21">
        <v>-0.14000000000000001</v>
      </c>
      <c r="M21">
        <v>-0.14000000000000001</v>
      </c>
      <c r="N21">
        <v>0</v>
      </c>
      <c r="O21">
        <v>0</v>
      </c>
    </row>
    <row r="22" spans="1:15" x14ac:dyDescent="0.15">
      <c r="A22" s="25" t="s">
        <v>74</v>
      </c>
      <c r="B22" s="6">
        <v>1</v>
      </c>
      <c r="C22">
        <v>1.5783999999999999E-2</v>
      </c>
      <c r="D22">
        <v>2281.605</v>
      </c>
      <c r="E22">
        <v>69.44</v>
      </c>
      <c r="F22">
        <v>101.137</v>
      </c>
      <c r="G22">
        <v>20.3</v>
      </c>
      <c r="H22">
        <v>10.003780000000001</v>
      </c>
      <c r="I22">
        <v>101.04900000000001</v>
      </c>
      <c r="J22">
        <v>20.329999999999998</v>
      </c>
      <c r="K22">
        <v>10</v>
      </c>
      <c r="L22">
        <v>-0.04</v>
      </c>
      <c r="M22">
        <v>-0.04</v>
      </c>
      <c r="N22">
        <v>0</v>
      </c>
      <c r="O22">
        <v>0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H24" sqref="H24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42"/>
    </row>
    <row r="3" spans="1:15" x14ac:dyDescent="0.15">
      <c r="A3" s="6" t="s">
        <v>16</v>
      </c>
      <c r="B3" s="6">
        <v>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 x14ac:dyDescent="0.15">
      <c r="A4" s="6" t="s">
        <v>17</v>
      </c>
      <c r="B4" s="6">
        <v>1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x14ac:dyDescent="0.15">
      <c r="A5" s="6" t="s">
        <v>18</v>
      </c>
      <c r="B5" s="6">
        <v>1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5" x14ac:dyDescent="0.15">
      <c r="A6" s="6" t="s">
        <v>19</v>
      </c>
      <c r="B6" s="6">
        <v>1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</row>
    <row r="7" spans="1:15" x14ac:dyDescent="0.15">
      <c r="A7" s="25" t="s">
        <v>74</v>
      </c>
      <c r="B7" s="6">
        <v>1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 spans="1:15" x14ac:dyDescent="0.15">
      <c r="A8" s="6" t="s">
        <v>15</v>
      </c>
      <c r="B8" s="6">
        <v>1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</row>
    <row r="9" spans="1:15" x14ac:dyDescent="0.15">
      <c r="A9" s="6" t="s">
        <v>16</v>
      </c>
      <c r="B9" s="6">
        <v>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</row>
    <row r="10" spans="1:15" x14ac:dyDescent="0.15">
      <c r="A10" s="6" t="s">
        <v>17</v>
      </c>
      <c r="B10" s="6">
        <v>1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spans="1:15" x14ac:dyDescent="0.15">
      <c r="A11" s="6" t="s">
        <v>18</v>
      </c>
      <c r="B11" s="6">
        <v>1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spans="1:15" x14ac:dyDescent="0.15">
      <c r="A12" s="6" t="s">
        <v>19</v>
      </c>
      <c r="B12" s="6">
        <v>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</row>
    <row r="13" spans="1:15" x14ac:dyDescent="0.15">
      <c r="A13" s="25" t="s">
        <v>74</v>
      </c>
      <c r="B13" s="6">
        <v>1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topLeftCell="A275" zoomScale="110" zoomScaleNormal="110" workbookViewId="0">
      <selection activeCell="A238" sqref="A238:M282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04" t="s">
        <v>67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05" t="s">
        <v>55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06" t="s">
        <v>68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08" t="s">
        <v>22</v>
      </c>
      <c r="J4" s="108"/>
      <c r="K4" s="109" t="s">
        <v>194</v>
      </c>
      <c r="L4" s="109"/>
      <c r="M4" s="10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10" t="s">
        <v>96</v>
      </c>
      <c r="D5" s="111"/>
      <c r="E5" s="111"/>
      <c r="F5" s="111"/>
      <c r="G5" s="111"/>
      <c r="H5" s="111"/>
      <c r="I5" s="108" t="s">
        <v>24</v>
      </c>
      <c r="J5" s="108"/>
      <c r="K5" s="112" t="s">
        <v>97</v>
      </c>
      <c r="L5" s="109"/>
      <c r="M5" s="10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10" t="s">
        <v>96</v>
      </c>
      <c r="D6" s="111"/>
      <c r="E6" s="111"/>
      <c r="F6" s="111"/>
      <c r="G6" s="111"/>
      <c r="H6" s="111"/>
      <c r="I6" s="108" t="s">
        <v>26</v>
      </c>
      <c r="J6" s="108"/>
      <c r="K6" s="170" t="s">
        <v>120</v>
      </c>
      <c r="L6" s="170"/>
      <c r="M6" s="17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72" t="s">
        <v>199</v>
      </c>
      <c r="D7" s="172"/>
      <c r="E7" s="172"/>
      <c r="F7" s="172"/>
      <c r="G7" s="114" t="s">
        <v>69</v>
      </c>
      <c r="H7" s="115"/>
      <c r="I7" s="10" t="s">
        <v>36</v>
      </c>
      <c r="J7" s="14" t="s">
        <v>40</v>
      </c>
      <c r="K7" s="15" t="s">
        <v>37</v>
      </c>
      <c r="L7" s="9" t="s">
        <v>38</v>
      </c>
      <c r="M7" s="15" t="s">
        <v>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41</v>
      </c>
      <c r="C8" s="116" t="s">
        <v>42</v>
      </c>
      <c r="D8" s="116"/>
      <c r="E8" s="116"/>
      <c r="F8" s="116"/>
      <c r="G8" s="173" t="s">
        <v>43</v>
      </c>
      <c r="H8" s="143"/>
      <c r="I8" s="109" t="s">
        <v>121</v>
      </c>
      <c r="J8" s="109"/>
      <c r="K8" s="14" t="s">
        <v>44</v>
      </c>
      <c r="L8" s="109" t="str">
        <f>IF(降流量!C2&gt;5,ROUND(MAX(降流量!O2,降流量!O7,降流量!O12)*0.75,0),MAX(降流量!O2,降流量!O7,降流量!O12))&amp;"Pa"</f>
        <v>40Pa</v>
      </c>
      <c r="M8" s="10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45</v>
      </c>
      <c r="C9" s="109" t="s">
        <v>46</v>
      </c>
      <c r="D9" s="109"/>
      <c r="E9" s="109"/>
      <c r="F9" s="109"/>
      <c r="G9" s="109"/>
      <c r="H9" s="109"/>
      <c r="I9" s="18" t="s">
        <v>47</v>
      </c>
      <c r="J9" s="109" t="s">
        <v>195</v>
      </c>
      <c r="K9" s="109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65</v>
      </c>
      <c r="C10" s="171" t="s">
        <v>66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48</v>
      </c>
      <c r="C11" s="11" t="s">
        <v>53</v>
      </c>
      <c r="D11" s="11"/>
      <c r="E11" s="11"/>
      <c r="F11" s="11"/>
      <c r="G11" s="24" t="s">
        <v>70</v>
      </c>
      <c r="H11" s="11"/>
      <c r="I11" s="11" t="s">
        <v>54</v>
      </c>
      <c r="K11" s="143" t="s">
        <v>80</v>
      </c>
      <c r="L11" s="143"/>
      <c r="M11" s="27">
        <f>(0.4*J17+0.7*J23+0.4*J29+0.2*J35+0.1*J41+10*I12*J47/E12+5*I12*J49/E12+I12*J51/E12)/(0.4+0.7+0.4+0.2+0.1+10*I12/E12+5*I12/E12+I12/E12)/100</f>
        <v>-2.7531107336819643E-4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49</v>
      </c>
      <c r="C12" s="134" t="s">
        <v>77</v>
      </c>
      <c r="D12" s="134"/>
      <c r="E12" s="22">
        <v>2.5</v>
      </c>
      <c r="F12" s="26" t="s">
        <v>78</v>
      </c>
      <c r="G12" s="134" t="s">
        <v>94</v>
      </c>
      <c r="H12" s="134"/>
      <c r="I12" s="22">
        <v>1.6E-2</v>
      </c>
      <c r="J12" s="26" t="s">
        <v>78</v>
      </c>
      <c r="K12" s="22" t="s">
        <v>95</v>
      </c>
      <c r="L12" s="22">
        <v>0.25</v>
      </c>
      <c r="M12" s="26" t="s">
        <v>78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23" t="s">
        <v>27</v>
      </c>
      <c r="C13" s="127" t="s">
        <v>28</v>
      </c>
      <c r="D13" s="127"/>
      <c r="E13" s="137" t="s">
        <v>29</v>
      </c>
      <c r="F13" s="138"/>
      <c r="G13" s="137" t="s">
        <v>30</v>
      </c>
      <c r="H13" s="138"/>
      <c r="I13" s="123" t="s">
        <v>31</v>
      </c>
      <c r="J13" s="123" t="s">
        <v>32</v>
      </c>
      <c r="K13" s="123" t="s">
        <v>81</v>
      </c>
      <c r="L13" s="127" t="s">
        <v>33</v>
      </c>
      <c r="M13" s="12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21"/>
      <c r="C14" s="127"/>
      <c r="D14" s="127"/>
      <c r="E14" s="139"/>
      <c r="F14" s="140"/>
      <c r="G14" s="139"/>
      <c r="H14" s="140"/>
      <c r="I14" s="121"/>
      <c r="J14" s="121"/>
      <c r="K14" s="121"/>
      <c r="L14" s="123" t="s">
        <v>34</v>
      </c>
      <c r="M14" s="174" t="s">
        <v>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21"/>
      <c r="C15" s="135"/>
      <c r="D15" s="136"/>
      <c r="E15" s="139"/>
      <c r="F15" s="140"/>
      <c r="G15" s="139"/>
      <c r="H15" s="140"/>
      <c r="I15" s="121"/>
      <c r="J15" s="121"/>
      <c r="K15" s="121"/>
      <c r="L15" s="121"/>
      <c r="M15" s="12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22"/>
      <c r="C16" s="135"/>
      <c r="D16" s="136"/>
      <c r="E16" s="141" t="s">
        <v>57</v>
      </c>
      <c r="F16" s="134"/>
      <c r="G16" s="141" t="s">
        <v>57</v>
      </c>
      <c r="H16" s="134"/>
      <c r="I16" s="3" t="s">
        <v>56</v>
      </c>
      <c r="J16" s="4" t="s">
        <v>56</v>
      </c>
      <c r="K16" s="122"/>
      <c r="L16" s="122"/>
      <c r="M16" s="12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55" t="s">
        <v>59</v>
      </c>
      <c r="C17" s="2">
        <v>1</v>
      </c>
      <c r="D17" s="152" t="s">
        <v>82</v>
      </c>
      <c r="E17" s="149">
        <f>降流量!K2</f>
        <v>50</v>
      </c>
      <c r="F17" s="149"/>
      <c r="G17" s="150">
        <f>降流量!H2</f>
        <v>49.926740000000002</v>
      </c>
      <c r="H17" s="150"/>
      <c r="I17" s="5">
        <f>(E17-G17)/G17*100</f>
        <v>0.14673499611630492</v>
      </c>
      <c r="J17" s="163">
        <f>AVERAGE(I17:I22)</f>
        <v>0.14636619693461625</v>
      </c>
      <c r="K17" s="167">
        <f>STDEV(I17:I22)/100</f>
        <v>7.138223225349095E-4</v>
      </c>
      <c r="L17" s="155" t="str">
        <f>IF(OR(AND(J17&gt;=0,J23&gt;=0,J29&gt;=0,J35&gt;=0,J41&gt;=0),AND(J17&lt;=0,J23&lt;=0,J29&lt;=0,J35&lt;=0,J41&lt;=0)),FIXED(ABS(J17),2)&amp;"%","/(异号)")</f>
        <v>/(异号)</v>
      </c>
      <c r="M17" s="167">
        <f>(MAX(J17:J41)-MIN(J17:J41))/100</f>
        <v>2.2409880633518912E-3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18"/>
      <c r="C18" s="2">
        <v>2</v>
      </c>
      <c r="D18" s="153"/>
      <c r="E18" s="133">
        <f>降流量!K7</f>
        <v>50</v>
      </c>
      <c r="F18" s="133"/>
      <c r="G18" s="132">
        <f>降流量!H7</f>
        <v>49.891640000000002</v>
      </c>
      <c r="H18" s="132"/>
      <c r="I18" s="5">
        <f t="shared" ref="I18:I50" si="0">(E18-G18)/G18*100</f>
        <v>0.21719069567566343</v>
      </c>
      <c r="J18" s="118"/>
      <c r="K18" s="168"/>
      <c r="L18" s="118"/>
      <c r="M18" s="16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18"/>
      <c r="C19" s="2">
        <v>3</v>
      </c>
      <c r="D19" s="154"/>
      <c r="E19" s="133">
        <f>降流量!K12</f>
        <v>50</v>
      </c>
      <c r="F19" s="133"/>
      <c r="G19" s="132">
        <f>降流量!H12</f>
        <v>49.885359999999999</v>
      </c>
      <c r="H19" s="132"/>
      <c r="I19" s="5">
        <f t="shared" si="0"/>
        <v>0.22980690126321912</v>
      </c>
      <c r="J19" s="118"/>
      <c r="K19" s="168"/>
      <c r="L19" s="118"/>
      <c r="M19" s="16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18"/>
      <c r="C20" s="2">
        <v>4</v>
      </c>
      <c r="D20" s="152" t="s">
        <v>83</v>
      </c>
      <c r="E20" s="133">
        <f>升流量!K9</f>
        <v>50</v>
      </c>
      <c r="F20" s="133"/>
      <c r="G20" s="132">
        <f>升流量!H9</f>
        <v>49.973790000000001</v>
      </c>
      <c r="H20" s="132"/>
      <c r="I20" s="5">
        <f t="shared" si="0"/>
        <v>5.2447492975815829E-2</v>
      </c>
      <c r="J20" s="118"/>
      <c r="K20" s="168"/>
      <c r="L20" s="118"/>
      <c r="M20" s="16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18"/>
      <c r="C21" s="2">
        <v>5</v>
      </c>
      <c r="D21" s="153"/>
      <c r="E21" s="133">
        <f>升流量!K14</f>
        <v>50</v>
      </c>
      <c r="F21" s="133"/>
      <c r="G21" s="132">
        <f>升流量!H14</f>
        <v>49.960850000000001</v>
      </c>
      <c r="H21" s="132"/>
      <c r="I21" s="5">
        <f t="shared" si="0"/>
        <v>7.8361356942484667E-2</v>
      </c>
      <c r="J21" s="118"/>
      <c r="K21" s="168"/>
      <c r="L21" s="118"/>
      <c r="M21" s="16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19"/>
      <c r="C22" s="2">
        <v>6</v>
      </c>
      <c r="D22" s="154"/>
      <c r="E22" s="133">
        <f>升流量!K19</f>
        <v>50</v>
      </c>
      <c r="F22" s="133"/>
      <c r="G22" s="132">
        <f>升流量!H19</f>
        <v>49.923290000000001</v>
      </c>
      <c r="H22" s="132"/>
      <c r="I22" s="5">
        <f t="shared" si="0"/>
        <v>0.15365573863420959</v>
      </c>
      <c r="J22" s="119"/>
      <c r="K22" s="169"/>
      <c r="L22" s="119"/>
      <c r="M22" s="16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19" t="s">
        <v>60</v>
      </c>
      <c r="C23" s="2">
        <v>1</v>
      </c>
      <c r="D23" s="152" t="s">
        <v>82</v>
      </c>
      <c r="E23" s="133">
        <f>降流量!K3</f>
        <v>30</v>
      </c>
      <c r="F23" s="133"/>
      <c r="G23" s="132">
        <f>降流量!H3</f>
        <v>30.04008</v>
      </c>
      <c r="H23" s="132"/>
      <c r="I23" s="5">
        <f t="shared" si="0"/>
        <v>-0.1334217485439442</v>
      </c>
      <c r="J23" s="163">
        <f>AVERAGE(I23:I28)</f>
        <v>-7.7732609400572875E-2</v>
      </c>
      <c r="K23" s="167">
        <f>STDEV(I23:I28)/100</f>
        <v>7.4034613885058925E-4</v>
      </c>
      <c r="L23" s="155" t="str">
        <f>IF(OR(AND(J17&gt;=0,J23&gt;=0,J29&gt;=0,J35&gt;=0,J41&gt;=0),AND(J17&lt;=0,J23&lt;=0,J29&lt;=0,J35&lt;=0,J41&lt;=0)),FIXED(ABS(J23),2)&amp;"%","/(异号)")</f>
        <v>/(异号)</v>
      </c>
      <c r="M23" s="16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127"/>
      <c r="C24" s="2">
        <v>2</v>
      </c>
      <c r="D24" s="153"/>
      <c r="E24" s="133">
        <f>降流量!K8</f>
        <v>30</v>
      </c>
      <c r="F24" s="133"/>
      <c r="G24" s="132">
        <f>降流量!H8</f>
        <v>30.008279999999999</v>
      </c>
      <c r="H24" s="132"/>
      <c r="I24" s="5">
        <f t="shared" si="0"/>
        <v>-2.7592384501874737E-2</v>
      </c>
      <c r="J24" s="118"/>
      <c r="K24" s="168"/>
      <c r="L24" s="118"/>
      <c r="M24" s="16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127"/>
      <c r="C25" s="2">
        <v>3</v>
      </c>
      <c r="D25" s="154"/>
      <c r="E25" s="133">
        <f>降流量!K13</f>
        <v>30</v>
      </c>
      <c r="F25" s="133"/>
      <c r="G25" s="132">
        <f>降流量!H13</f>
        <v>30.013529999999999</v>
      </c>
      <c r="H25" s="132"/>
      <c r="I25" s="5">
        <f t="shared" si="0"/>
        <v>-4.5079669069247687E-2</v>
      </c>
      <c r="J25" s="118"/>
      <c r="K25" s="168"/>
      <c r="L25" s="118"/>
      <c r="M25" s="1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127"/>
      <c r="C26" s="2">
        <v>4</v>
      </c>
      <c r="D26" s="152" t="s">
        <v>83</v>
      </c>
      <c r="E26" s="133">
        <f>升流量!K8</f>
        <v>30</v>
      </c>
      <c r="F26" s="133"/>
      <c r="G26" s="132">
        <f>升流量!H8</f>
        <v>30.00291</v>
      </c>
      <c r="H26" s="132"/>
      <c r="I26" s="5">
        <f t="shared" si="0"/>
        <v>-9.699059191258342E-3</v>
      </c>
      <c r="J26" s="118"/>
      <c r="K26" s="168"/>
      <c r="L26" s="118"/>
      <c r="M26" s="16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127"/>
      <c r="C27" s="2">
        <v>5</v>
      </c>
      <c r="D27" s="153"/>
      <c r="E27" s="133">
        <f>升流量!K13</f>
        <v>30</v>
      </c>
      <c r="F27" s="133"/>
      <c r="G27" s="132">
        <f>升流量!H13</f>
        <v>30.014779999999998</v>
      </c>
      <c r="H27" s="132"/>
      <c r="I27" s="5">
        <f t="shared" si="0"/>
        <v>-4.9242406574355163E-2</v>
      </c>
      <c r="J27" s="118"/>
      <c r="K27" s="168"/>
      <c r="L27" s="118"/>
      <c r="M27" s="16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127"/>
      <c r="C28" s="2">
        <v>6</v>
      </c>
      <c r="D28" s="154"/>
      <c r="E28" s="133">
        <f>升流量!K18</f>
        <v>30</v>
      </c>
      <c r="F28" s="133"/>
      <c r="G28" s="132">
        <f>升流量!H18</f>
        <v>30.06053</v>
      </c>
      <c r="H28" s="132"/>
      <c r="I28" s="5">
        <f t="shared" si="0"/>
        <v>-0.20136038852275714</v>
      </c>
      <c r="J28" s="119"/>
      <c r="K28" s="169"/>
      <c r="L28" s="119"/>
      <c r="M28" s="16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19" t="s">
        <v>61</v>
      </c>
      <c r="C29" s="2">
        <v>1</v>
      </c>
      <c r="D29" s="152" t="s">
        <v>82</v>
      </c>
      <c r="E29" s="133">
        <f>降流量!K4</f>
        <v>20</v>
      </c>
      <c r="F29" s="133"/>
      <c r="G29" s="132">
        <f>降流量!H4</f>
        <v>20.00421</v>
      </c>
      <c r="H29" s="132"/>
      <c r="I29" s="5">
        <f t="shared" si="0"/>
        <v>-2.1045569907536921E-2</v>
      </c>
      <c r="J29" s="163">
        <f>AVERAGE(I29:I34)</f>
        <v>-5.4577677559059602E-2</v>
      </c>
      <c r="K29" s="167">
        <f>STDEV(I29:I34)/100</f>
        <v>7.8056411268879339E-4</v>
      </c>
      <c r="L29" s="155" t="str">
        <f>IF(OR(AND(J17&gt;=0,J23&gt;=0,J29&gt;=0,J35&gt;=0,J41&gt;=0),AND(J17&lt;=0,J23&lt;=0,J29&lt;=0,J35&lt;=0,J41&lt;=0)),FIXED(ABS(J29),2)&amp;"%","/(异号)")</f>
        <v>/(异号)</v>
      </c>
      <c r="M29" s="16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127"/>
      <c r="C30" s="2">
        <v>2</v>
      </c>
      <c r="D30" s="153"/>
      <c r="E30" s="133">
        <f>降流量!K9</f>
        <v>20</v>
      </c>
      <c r="F30" s="133"/>
      <c r="G30" s="132">
        <f>降流量!H9</f>
        <v>19.986789999999999</v>
      </c>
      <c r="H30" s="132"/>
      <c r="I30" s="5">
        <f t="shared" si="0"/>
        <v>6.609365485903855E-2</v>
      </c>
      <c r="J30" s="118"/>
      <c r="K30" s="168"/>
      <c r="L30" s="118"/>
      <c r="M30" s="1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127"/>
      <c r="C31" s="2">
        <v>3</v>
      </c>
      <c r="D31" s="154"/>
      <c r="E31" s="133">
        <f>降流量!K14</f>
        <v>20</v>
      </c>
      <c r="F31" s="133"/>
      <c r="G31" s="132">
        <f>降流量!H14</f>
        <v>20.033580000000001</v>
      </c>
      <c r="H31" s="132"/>
      <c r="I31" s="5">
        <f t="shared" si="0"/>
        <v>-0.16761856842361977</v>
      </c>
      <c r="J31" s="118"/>
      <c r="K31" s="168"/>
      <c r="L31" s="118"/>
      <c r="M31" s="16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127"/>
      <c r="C32" s="2">
        <v>4</v>
      </c>
      <c r="D32" s="152" t="s">
        <v>83</v>
      </c>
      <c r="E32" s="133">
        <f>升流量!K7</f>
        <v>20</v>
      </c>
      <c r="F32" s="133"/>
      <c r="G32" s="132">
        <f>升流量!H7</f>
        <v>20.019860000000001</v>
      </c>
      <c r="H32" s="132"/>
      <c r="I32" s="5">
        <f t="shared" si="0"/>
        <v>-9.9201492917539491E-2</v>
      </c>
      <c r="J32" s="118"/>
      <c r="K32" s="168"/>
      <c r="L32" s="118"/>
      <c r="M32" s="16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127"/>
      <c r="C33" s="2">
        <v>5</v>
      </c>
      <c r="D33" s="153"/>
      <c r="E33" s="133">
        <f>升流量!K12</f>
        <v>20</v>
      </c>
      <c r="F33" s="133"/>
      <c r="G33" s="132">
        <f>升流量!H12</f>
        <v>20.0108</v>
      </c>
      <c r="H33" s="132"/>
      <c r="I33" s="5">
        <f t="shared" si="0"/>
        <v>-5.3970855737900024E-2</v>
      </c>
      <c r="J33" s="118"/>
      <c r="K33" s="168"/>
      <c r="L33" s="118"/>
      <c r="M33" s="16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127"/>
      <c r="C34" s="2">
        <v>6</v>
      </c>
      <c r="D34" s="154"/>
      <c r="E34" s="133">
        <f>升流量!K17</f>
        <v>20</v>
      </c>
      <c r="F34" s="133"/>
      <c r="G34" s="132">
        <f>升流量!H17</f>
        <v>20.010349999999999</v>
      </c>
      <c r="H34" s="132"/>
      <c r="I34" s="5">
        <f t="shared" si="0"/>
        <v>-5.1723233226799989E-2</v>
      </c>
      <c r="J34" s="119"/>
      <c r="K34" s="169"/>
      <c r="L34" s="119"/>
      <c r="M34" s="16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19" t="s">
        <v>62</v>
      </c>
      <c r="C35" s="2">
        <v>1</v>
      </c>
      <c r="D35" s="152" t="s">
        <v>82</v>
      </c>
      <c r="E35" s="133">
        <f>降流量!K5</f>
        <v>20</v>
      </c>
      <c r="F35" s="133"/>
      <c r="G35" s="132">
        <f>降流量!H5</f>
        <v>19.997170000000001</v>
      </c>
      <c r="H35" s="132"/>
      <c r="I35" s="5">
        <f t="shared" si="0"/>
        <v>1.4152002508352151E-2</v>
      </c>
      <c r="J35" s="163">
        <f>AVERAGE(I35:I40)</f>
        <v>1.2819223123642677E-3</v>
      </c>
      <c r="K35" s="167">
        <f>STDEV(I35:I40)/100</f>
        <v>2.8785648858954379E-4</v>
      </c>
      <c r="L35" s="155" t="str">
        <f>IF(OR(AND(J17&gt;=0,J23&gt;=0,J29&gt;=0,J35&gt;=0,J41&gt;=0),AND(J17&lt;=0,J23&lt;=0,J29&lt;=0,J35&lt;=0,J41&lt;=0)),FIXED(ABS(J35),2)&amp;"%","/(异号)")</f>
        <v>/(异号)</v>
      </c>
      <c r="M35" s="1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127"/>
      <c r="C36" s="2">
        <v>2</v>
      </c>
      <c r="D36" s="153"/>
      <c r="E36" s="133">
        <f>降流量!K10</f>
        <v>20</v>
      </c>
      <c r="F36" s="133"/>
      <c r="G36" s="132">
        <f>降流量!H10</f>
        <v>19.99344</v>
      </c>
      <c r="H36" s="132"/>
      <c r="I36" s="5">
        <f t="shared" si="0"/>
        <v>3.2810761929914729E-2</v>
      </c>
      <c r="J36" s="118"/>
      <c r="K36" s="168"/>
      <c r="L36" s="118"/>
      <c r="M36" s="16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127"/>
      <c r="C37" s="2">
        <v>3</v>
      </c>
      <c r="D37" s="154"/>
      <c r="E37" s="133">
        <f>降流量!K15</f>
        <v>20</v>
      </c>
      <c r="F37" s="133"/>
      <c r="G37" s="132">
        <f>降流量!H15</f>
        <v>20.004729999999999</v>
      </c>
      <c r="H37" s="132"/>
      <c r="I37" s="5">
        <f t="shared" si="0"/>
        <v>-2.3644408097477792E-2</v>
      </c>
      <c r="J37" s="118"/>
      <c r="K37" s="168"/>
      <c r="L37" s="118"/>
      <c r="M37" s="16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127"/>
      <c r="C38" s="2">
        <v>4</v>
      </c>
      <c r="D38" s="152" t="s">
        <v>83</v>
      </c>
      <c r="E38" s="133">
        <f>升流量!K6</f>
        <v>20</v>
      </c>
      <c r="F38" s="133"/>
      <c r="G38" s="132">
        <f>升流量!H6</f>
        <v>19.995920000000002</v>
      </c>
      <c r="H38" s="132"/>
      <c r="I38" s="5">
        <f t="shared" si="0"/>
        <v>2.0404162449131156E-2</v>
      </c>
      <c r="J38" s="118"/>
      <c r="K38" s="168"/>
      <c r="L38" s="118"/>
      <c r="M38" s="16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127"/>
      <c r="C39" s="2">
        <v>5</v>
      </c>
      <c r="D39" s="153"/>
      <c r="E39" s="133">
        <f>升流量!K11</f>
        <v>20</v>
      </c>
      <c r="F39" s="133"/>
      <c r="G39" s="132">
        <f>升流量!H11</f>
        <v>19.9986</v>
      </c>
      <c r="H39" s="132"/>
      <c r="I39" s="5">
        <f t="shared" si="0"/>
        <v>7.0004900343038504E-3</v>
      </c>
      <c r="J39" s="118"/>
      <c r="K39" s="168"/>
      <c r="L39" s="118"/>
      <c r="M39" s="16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127"/>
      <c r="C40" s="2">
        <v>6</v>
      </c>
      <c r="D40" s="154"/>
      <c r="E40" s="133">
        <f>升流量!K16</f>
        <v>20</v>
      </c>
      <c r="F40" s="133"/>
      <c r="G40" s="132">
        <f>升流量!H16</f>
        <v>20.008610000000001</v>
      </c>
      <c r="H40" s="132"/>
      <c r="I40" s="5">
        <f t="shared" si="0"/>
        <v>-4.3031474950038485E-2</v>
      </c>
      <c r="J40" s="119"/>
      <c r="K40" s="169"/>
      <c r="L40" s="119"/>
      <c r="M40" s="16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19" t="s">
        <v>63</v>
      </c>
      <c r="C41" s="2">
        <v>1</v>
      </c>
      <c r="D41" s="152" t="s">
        <v>82</v>
      </c>
      <c r="E41" s="133">
        <f>降流量!K6</f>
        <v>20</v>
      </c>
      <c r="F41" s="133"/>
      <c r="G41" s="132">
        <f>降流量!H6</f>
        <v>20.005379999999999</v>
      </c>
      <c r="H41" s="132"/>
      <c r="I41" s="5">
        <f t="shared" si="0"/>
        <v>-2.6892765845981582E-2</v>
      </c>
      <c r="J41" s="163">
        <f>AVERAGE(I41:I46)</f>
        <v>-4.3237923143205563E-2</v>
      </c>
      <c r="K41" s="167">
        <f>STDEV(I41:I46)/100</f>
        <v>1.4302803208658568E-4</v>
      </c>
      <c r="L41" s="155" t="str">
        <f>IF(OR(AND(J17&gt;=0,J23&gt;=0,J29&gt;=0,J35&gt;=0,J41&gt;=0),AND(J17&lt;=0,J23&lt;=0,J29&lt;=0,J35&lt;=0,J41&lt;=0)),FIXED(ABS(J41),2)&amp;"%","/(异号)")</f>
        <v>/(异号)</v>
      </c>
      <c r="M41" s="16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127"/>
      <c r="C42" s="2">
        <v>2</v>
      </c>
      <c r="D42" s="153"/>
      <c r="E42" s="133">
        <f>降流量!K11</f>
        <v>20</v>
      </c>
      <c r="F42" s="133"/>
      <c r="G42" s="132">
        <f>降流量!H11</f>
        <v>20.012180000000001</v>
      </c>
      <c r="H42" s="132"/>
      <c r="I42" s="5">
        <f t="shared" si="0"/>
        <v>-6.0862934472909726E-2</v>
      </c>
      <c r="J42" s="118"/>
      <c r="K42" s="168"/>
      <c r="L42" s="118"/>
      <c r="M42" s="16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127"/>
      <c r="C43" s="2">
        <v>3</v>
      </c>
      <c r="D43" s="154"/>
      <c r="E43" s="133">
        <f>降流量!K16</f>
        <v>20</v>
      </c>
      <c r="F43" s="133"/>
      <c r="G43" s="132">
        <f>降流量!H16</f>
        <v>20.0108</v>
      </c>
      <c r="H43" s="132"/>
      <c r="I43" s="5">
        <f t="shared" si="0"/>
        <v>-5.3970855737900024E-2</v>
      </c>
      <c r="J43" s="118"/>
      <c r="K43" s="168"/>
      <c r="L43" s="118"/>
      <c r="M43" s="16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127"/>
      <c r="C44" s="2">
        <v>4</v>
      </c>
      <c r="D44" s="152" t="s">
        <v>83</v>
      </c>
      <c r="E44" s="133">
        <f>升流量!K5</f>
        <v>20</v>
      </c>
      <c r="F44" s="133"/>
      <c r="G44" s="132">
        <f>升流量!H5</f>
        <v>20.009840000000001</v>
      </c>
      <c r="H44" s="132"/>
      <c r="I44" s="5">
        <f t="shared" si="0"/>
        <v>-4.9175805503694756E-2</v>
      </c>
      <c r="J44" s="118"/>
      <c r="K44" s="168"/>
      <c r="L44" s="118"/>
      <c r="M44" s="16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127"/>
      <c r="C45" s="2">
        <v>5</v>
      </c>
      <c r="D45" s="153"/>
      <c r="E45" s="133">
        <f>升流量!K10</f>
        <v>20</v>
      </c>
      <c r="F45" s="133"/>
      <c r="G45" s="132">
        <f>升流量!H10</f>
        <v>20.008489999999998</v>
      </c>
      <c r="H45" s="132"/>
      <c r="I45" s="5">
        <f t="shared" si="0"/>
        <v>-4.2431987621246448E-2</v>
      </c>
      <c r="J45" s="118"/>
      <c r="K45" s="168"/>
      <c r="L45" s="118"/>
      <c r="M45" s="16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127"/>
      <c r="C46" s="2">
        <v>6</v>
      </c>
      <c r="D46" s="154"/>
      <c r="E46" s="133">
        <f>升流量!K15</f>
        <v>20</v>
      </c>
      <c r="F46" s="133"/>
      <c r="G46" s="132">
        <f>升流量!H15</f>
        <v>20.005220000000001</v>
      </c>
      <c r="H46" s="132"/>
      <c r="I46" s="5">
        <f t="shared" si="0"/>
        <v>-2.6093189677500843E-2</v>
      </c>
      <c r="J46" s="119"/>
      <c r="K46" s="169"/>
      <c r="L46" s="119"/>
      <c r="M46" s="16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55" t="s">
        <v>71</v>
      </c>
      <c r="C47" s="2">
        <v>1</v>
      </c>
      <c r="D47" s="7" t="s">
        <v>84</v>
      </c>
      <c r="E47" s="133">
        <f>降流量!K17</f>
        <v>20</v>
      </c>
      <c r="F47" s="133"/>
      <c r="G47" s="132">
        <f>ROUND(降流量!H17,6-LEN(INT(降流量!H17)))</f>
        <v>20.057099999999998</v>
      </c>
      <c r="H47" s="132"/>
      <c r="I47" s="5">
        <f t="shared" si="0"/>
        <v>-0.28468721799262298</v>
      </c>
      <c r="J47" s="163">
        <f>AVERAGE(I47:I48)</f>
        <v>-0.26653437399147645</v>
      </c>
      <c r="K47" s="155" t="s">
        <v>21</v>
      </c>
      <c r="L47" s="155" t="s">
        <v>21</v>
      </c>
      <c r="M47" s="164">
        <f>(MAX(J47:J51)-MIN(J47:J51))/100</f>
        <v>3.1141927809273718E-3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19"/>
      <c r="C48" s="2">
        <v>2</v>
      </c>
      <c r="D48" s="7" t="s">
        <v>85</v>
      </c>
      <c r="E48" s="133">
        <f>升流量!K4</f>
        <v>20</v>
      </c>
      <c r="F48" s="133"/>
      <c r="G48" s="132">
        <f>ROUND(升流量!H4,6-LEN(INT(升流量!H4)))</f>
        <v>20.049800000000001</v>
      </c>
      <c r="H48" s="132"/>
      <c r="I48" s="5">
        <f t="shared" si="0"/>
        <v>-0.24838152999032995</v>
      </c>
      <c r="J48" s="119"/>
      <c r="K48" s="119"/>
      <c r="L48" s="119"/>
      <c r="M48" s="16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55" t="s">
        <v>198</v>
      </c>
      <c r="C49" s="2">
        <v>1</v>
      </c>
      <c r="D49" s="7" t="s">
        <v>84</v>
      </c>
      <c r="E49" s="133">
        <f>降流量!K18</f>
        <v>10</v>
      </c>
      <c r="F49" s="133"/>
      <c r="G49" s="132">
        <f>ROUND(降流量!H18,6-LEN(INT(降流量!H18)))</f>
        <v>10.046200000000001</v>
      </c>
      <c r="H49" s="132"/>
      <c r="I49" s="5">
        <f t="shared" si="0"/>
        <v>-0.45987537576397725</v>
      </c>
      <c r="J49" s="163">
        <f>AVERAGE(I49:I50)</f>
        <v>-0.40482383749684003</v>
      </c>
      <c r="K49" s="155" t="s">
        <v>21</v>
      </c>
      <c r="L49" s="155" t="s">
        <v>21</v>
      </c>
      <c r="M49" s="16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19"/>
      <c r="C50" s="2">
        <v>2</v>
      </c>
      <c r="D50" s="7" t="s">
        <v>85</v>
      </c>
      <c r="E50" s="133">
        <f>升流量!K3</f>
        <v>10</v>
      </c>
      <c r="F50" s="133"/>
      <c r="G50" s="132">
        <f>ROUND(升流量!H3,6-LEN(INT(升流量!H3)))</f>
        <v>10.0351</v>
      </c>
      <c r="H50" s="132"/>
      <c r="I50" s="5">
        <f t="shared" si="0"/>
        <v>-0.34977229922970282</v>
      </c>
      <c r="J50" s="119"/>
      <c r="K50" s="119"/>
      <c r="L50" s="119"/>
      <c r="M50" s="16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55" t="s">
        <v>64</v>
      </c>
      <c r="C51" s="2">
        <v>1</v>
      </c>
      <c r="D51" s="7" t="s">
        <v>84</v>
      </c>
      <c r="E51" s="133">
        <f>降流量!K19</f>
        <v>10</v>
      </c>
      <c r="F51" s="133"/>
      <c r="G51" s="132">
        <f>ROUND(降流量!H19,6-LEN(INT(降流量!H19)))</f>
        <v>10.0122</v>
      </c>
      <c r="H51" s="132"/>
      <c r="I51" s="5">
        <f>(E51-G51)/G51*100</f>
        <v>-0.12185134136353637</v>
      </c>
      <c r="J51" s="163">
        <f>AVERAGE(I51:I52)</f>
        <v>-9.340455940410286E-2</v>
      </c>
      <c r="K51" s="155" t="s">
        <v>21</v>
      </c>
      <c r="L51" s="155" t="s">
        <v>21</v>
      </c>
      <c r="M51" s="16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19"/>
      <c r="C52" s="2">
        <v>2</v>
      </c>
      <c r="D52" s="7" t="s">
        <v>85</v>
      </c>
      <c r="E52" s="133">
        <f>升流量!K2</f>
        <v>10</v>
      </c>
      <c r="F52" s="133"/>
      <c r="G52" s="132">
        <f>ROUND(升流量!H2,6-LEN(INT(升流量!H2)))</f>
        <v>10.006500000000001</v>
      </c>
      <c r="H52" s="132"/>
      <c r="I52" s="5">
        <f>(E52-G52)/G52*100</f>
        <v>-6.4957777444669337E-2</v>
      </c>
      <c r="J52" s="119"/>
      <c r="K52" s="119"/>
      <c r="L52" s="119"/>
      <c r="M52" s="16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9" t="s">
        <v>50</v>
      </c>
      <c r="C55" s="100"/>
      <c r="D55" s="17"/>
      <c r="E55" s="17"/>
      <c r="F55" s="17"/>
      <c r="G55" s="101" t="s">
        <v>51</v>
      </c>
      <c r="H55" s="102"/>
      <c r="I55" s="17"/>
      <c r="J55" s="20" t="s">
        <v>52</v>
      </c>
      <c r="K55" s="102" t="inlineStr">
        <is>
          <t>2025.09.22 09:00~2025.09.24 16:00</t>
        </is>
      </c>
      <c r="L55" s="17"/>
      <c r="M55" s="10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103" t="s">
        <v>58</v>
      </c>
      <c r="M57" s="10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04" t="s">
        <v>67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05" t="s">
        <v>55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06" t="s">
        <v>68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08" t="s">
        <v>22</v>
      </c>
      <c r="J63" s="108"/>
      <c r="K63" s="109" t="str">
        <f>K4</f>
        <v>2026E70-40-000006</v>
      </c>
      <c r="L63" s="109"/>
      <c r="M63" s="10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10" t="str">
        <f>C5</f>
        <v>上海真兰仪表科技股份有限公司</v>
      </c>
      <c r="D64" s="111"/>
      <c r="E64" s="111"/>
      <c r="F64" s="111"/>
      <c r="G64" s="111"/>
      <c r="H64" s="111"/>
      <c r="I64" s="108" t="s">
        <v>24</v>
      </c>
      <c r="J64" s="108"/>
      <c r="K64" s="112" t="str">
        <f>K5</f>
        <v>超声波燃气表</v>
      </c>
      <c r="L64" s="109"/>
      <c r="M64" s="10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10" t="str">
        <f>C6</f>
        <v>上海真兰仪表科技股份有限公司</v>
      </c>
      <c r="D65" s="111"/>
      <c r="E65" s="111"/>
      <c r="F65" s="111"/>
      <c r="G65" s="111"/>
      <c r="H65" s="111"/>
      <c r="I65" s="108" t="s">
        <v>26</v>
      </c>
      <c r="J65" s="108"/>
      <c r="K65" s="176" t="str">
        <f>K6</f>
        <v>UG1.6A LP Z2-NB</v>
      </c>
      <c r="L65" s="176"/>
      <c r="M65" s="17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13" t="str">
        <f>C7</f>
        <v>2582928128</v>
      </c>
      <c r="D66" s="113"/>
      <c r="E66" s="113"/>
      <c r="F66" s="113"/>
      <c r="G66" s="114" t="s">
        <v>69</v>
      </c>
      <c r="H66" s="115"/>
      <c r="I66" s="10" t="s">
        <v>36</v>
      </c>
      <c r="J66" s="14" t="s">
        <v>40</v>
      </c>
      <c r="K66" s="15" t="str">
        <f>K7</f>
        <v>(20~21)℃</v>
      </c>
      <c r="L66" s="9" t="s">
        <v>38</v>
      </c>
      <c r="M66" s="15" t="str">
        <f>M7</f>
        <v>(65~67)%RH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41</v>
      </c>
      <c r="C67" s="116" t="str">
        <f>C8</f>
        <v>(100~101)kPa</v>
      </c>
      <c r="D67" s="116"/>
      <c r="E67" s="116"/>
      <c r="F67" s="116"/>
      <c r="G67" s="173" t="s">
        <v>43</v>
      </c>
      <c r="H67" s="143"/>
      <c r="I67" s="109" t="str">
        <f>I8</f>
        <v>(0.016~2.5)m³/h</v>
      </c>
      <c r="J67" s="109"/>
      <c r="K67" s="14"/>
      <c r="L67" s="102"/>
      <c r="M67" s="10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45</v>
      </c>
      <c r="C68" s="109" t="s">
        <v>46</v>
      </c>
      <c r="D68" s="109"/>
      <c r="E68" s="109"/>
      <c r="F68" s="109"/>
      <c r="G68" s="109"/>
      <c r="H68" s="109"/>
      <c r="I68" s="18" t="s">
        <v>47</v>
      </c>
      <c r="J68" s="109" t="s">
        <v>195</v>
      </c>
      <c r="K68" s="109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65</v>
      </c>
      <c r="C69" s="179">
        <v>2816</v>
      </c>
      <c r="D69" s="179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49</v>
      </c>
      <c r="C70" s="134" t="s">
        <v>77</v>
      </c>
      <c r="D70" s="134"/>
      <c r="E70" s="22">
        <f>E12</f>
        <v>2.5</v>
      </c>
      <c r="F70" s="26" t="s">
        <v>78</v>
      </c>
      <c r="G70" s="134" t="s">
        <v>79</v>
      </c>
      <c r="H70" s="134"/>
      <c r="I70" s="22">
        <f>I12</f>
        <v>1.6E-2</v>
      </c>
      <c r="J70" s="26" t="s">
        <v>78</v>
      </c>
      <c r="K70" s="22" t="s">
        <v>95</v>
      </c>
      <c r="L70" s="22">
        <f>L12</f>
        <v>0.25</v>
      </c>
      <c r="M70" s="26" t="s">
        <v>78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23" t="s">
        <v>27</v>
      </c>
      <c r="C71" s="127" t="s">
        <v>28</v>
      </c>
      <c r="D71" s="127"/>
      <c r="E71" s="137" t="s">
        <v>29</v>
      </c>
      <c r="F71" s="138"/>
      <c r="G71" s="137" t="s">
        <v>30</v>
      </c>
      <c r="H71" s="138"/>
      <c r="I71" s="123" t="s">
        <v>31</v>
      </c>
      <c r="J71" s="123" t="s">
        <v>32</v>
      </c>
      <c r="K71" s="177" t="s">
        <v>91</v>
      </c>
      <c r="L71" s="175" t="s">
        <v>89</v>
      </c>
      <c r="M71" s="14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21"/>
      <c r="C72" s="127"/>
      <c r="D72" s="127"/>
      <c r="E72" s="139"/>
      <c r="F72" s="140"/>
      <c r="G72" s="139"/>
      <c r="H72" s="140"/>
      <c r="I72" s="121"/>
      <c r="J72" s="121"/>
      <c r="K72" s="178"/>
      <c r="L72" s="146"/>
      <c r="M72" s="14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21"/>
      <c r="C73" s="135"/>
      <c r="D73" s="136"/>
      <c r="E73" s="139"/>
      <c r="F73" s="140"/>
      <c r="G73" s="139"/>
      <c r="H73" s="140"/>
      <c r="I73" s="121"/>
      <c r="J73" s="121"/>
      <c r="K73" s="178"/>
      <c r="L73" s="146"/>
      <c r="M73" s="14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22"/>
      <c r="C74" s="135"/>
      <c r="D74" s="136"/>
      <c r="E74" s="141" t="s">
        <v>57</v>
      </c>
      <c r="F74" s="134"/>
      <c r="G74" s="141" t="s">
        <v>57</v>
      </c>
      <c r="H74" s="134"/>
      <c r="I74" s="3" t="s">
        <v>113</v>
      </c>
      <c r="J74" s="4" t="s">
        <v>56</v>
      </c>
      <c r="K74" s="4" t="s">
        <v>56</v>
      </c>
      <c r="L74" s="141"/>
      <c r="M74" s="1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127" t="s">
        <v>117</v>
      </c>
      <c r="C75" s="127">
        <v>1</v>
      </c>
      <c r="D75" s="127"/>
      <c r="E75" s="149">
        <f>重复性!K2</f>
        <v>50</v>
      </c>
      <c r="F75" s="149"/>
      <c r="G75" s="150">
        <f>重复性!H2</f>
        <v>49.999029999999998</v>
      </c>
      <c r="H75" s="150"/>
      <c r="I75" s="5">
        <f>(E75-G75)/G75*100</f>
        <v>1.9400376367348685E-3</v>
      </c>
      <c r="J75" s="126">
        <f>AVERAGE(I75:I77)</f>
        <v>4.3161306434949927E-2</v>
      </c>
      <c r="K75" s="180">
        <f>ABS((MAX(I75:I77)-MIN(I75:I77)))</f>
        <v>7.3236434929455155E-2</v>
      </c>
      <c r="L75" s="175" t="s">
        <v>90</v>
      </c>
      <c r="M75" s="14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127"/>
      <c r="C76" s="127">
        <v>2</v>
      </c>
      <c r="D76" s="127"/>
      <c r="E76" s="149">
        <f>重复性!K3</f>
        <v>50</v>
      </c>
      <c r="F76" s="149"/>
      <c r="G76" s="150">
        <f>重复性!H3</f>
        <v>49.97383</v>
      </c>
      <c r="H76" s="150"/>
      <c r="I76" s="5">
        <f t="shared" ref="I76:I83" si="1">(E76-G76)/G76*100</f>
        <v>5.2367409101924889E-2</v>
      </c>
      <c r="J76" s="127"/>
      <c r="K76" s="180"/>
      <c r="L76" s="146"/>
      <c r="M76" s="14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127"/>
      <c r="C77" s="127">
        <v>3</v>
      </c>
      <c r="D77" s="127"/>
      <c r="E77" s="149">
        <f>重复性!K4</f>
        <v>50</v>
      </c>
      <c r="F77" s="149"/>
      <c r="G77" s="150">
        <f>重复性!H4</f>
        <v>49.962440000000001</v>
      </c>
      <c r="H77" s="150"/>
      <c r="I77" s="5">
        <f t="shared" si="1"/>
        <v>7.517647256619002E-2</v>
      </c>
      <c r="J77" s="127"/>
      <c r="K77" s="180"/>
      <c r="L77" s="146"/>
      <c r="M77" s="14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19" t="s">
        <v>93</v>
      </c>
      <c r="C78" s="127">
        <v>1</v>
      </c>
      <c r="D78" s="127"/>
      <c r="E78" s="149">
        <f>重复性!K5</f>
        <v>20</v>
      </c>
      <c r="F78" s="149"/>
      <c r="G78" s="150">
        <f>重复性!H5</f>
        <v>20.010010000000001</v>
      </c>
      <c r="H78" s="150"/>
      <c r="I78" s="5">
        <f t="shared" si="1"/>
        <v>-5.0024962506271524E-2</v>
      </c>
      <c r="J78" s="126">
        <f>AVERAGE(I78:I80)</f>
        <v>-5.481980026510689E-2</v>
      </c>
      <c r="K78" s="162">
        <f>ABS((MAX(I78:I80)-MIN(I78:I80)))</f>
        <v>8.7404834115232324E-3</v>
      </c>
      <c r="L78" s="146"/>
      <c r="M78" s="14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127"/>
      <c r="C79" s="127">
        <v>2</v>
      </c>
      <c r="D79" s="127"/>
      <c r="E79" s="149">
        <f>重复性!K6</f>
        <v>20</v>
      </c>
      <c r="F79" s="149"/>
      <c r="G79" s="150">
        <f>重复性!H6</f>
        <v>20.011759999999999</v>
      </c>
      <c r="H79" s="150"/>
      <c r="I79" s="5">
        <f t="shared" si="1"/>
        <v>-5.8765445917794756E-2</v>
      </c>
      <c r="J79" s="127"/>
      <c r="K79" s="162"/>
      <c r="L79" s="146"/>
      <c r="M79" s="14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127"/>
      <c r="C80" s="127">
        <v>3</v>
      </c>
      <c r="D80" s="127"/>
      <c r="E80" s="149">
        <f>重复性!K7</f>
        <v>20</v>
      </c>
      <c r="F80" s="149"/>
      <c r="G80" s="150">
        <f>重复性!H7</f>
        <v>20.011140000000001</v>
      </c>
      <c r="H80" s="150"/>
      <c r="I80" s="5">
        <f t="shared" si="1"/>
        <v>-5.5668992371254403E-2</v>
      </c>
      <c r="J80" s="127"/>
      <c r="K80" s="162"/>
      <c r="L80" s="146"/>
      <c r="M80" s="14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19" t="s">
        <v>92</v>
      </c>
      <c r="C81" s="127">
        <v>1</v>
      </c>
      <c r="D81" s="127"/>
      <c r="E81" s="149">
        <f>重复性!K8</f>
        <v>10</v>
      </c>
      <c r="F81" s="149"/>
      <c r="G81" s="150">
        <f>重复性!H8</f>
        <v>9.9893129999999992</v>
      </c>
      <c r="H81" s="150"/>
      <c r="I81" s="5">
        <f t="shared" si="1"/>
        <v>0.10698433415792237</v>
      </c>
      <c r="J81" s="126">
        <f>AVERAGE(I81:I83)</f>
        <v>3.8504125289584155E-2</v>
      </c>
      <c r="K81" s="162">
        <f>ABS((MAX(I81:I83)-MIN(I81:I83)))</f>
        <v>0.17943180973813538</v>
      </c>
      <c r="L81" s="146"/>
      <c r="M81" s="14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127"/>
      <c r="C82" s="127">
        <v>2</v>
      </c>
      <c r="D82" s="127"/>
      <c r="E82" s="149">
        <f>重复性!K9</f>
        <v>10</v>
      </c>
      <c r="F82" s="149"/>
      <c r="G82" s="150">
        <f>重复性!H9</f>
        <v>9.9919089999999997</v>
      </c>
      <c r="H82" s="150"/>
      <c r="I82" s="5">
        <f t="shared" si="1"/>
        <v>8.0975517291043103E-2</v>
      </c>
      <c r="J82" s="127"/>
      <c r="K82" s="162"/>
      <c r="L82" s="146"/>
      <c r="M82" s="14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127"/>
      <c r="C83" s="127">
        <v>3</v>
      </c>
      <c r="D83" s="127"/>
      <c r="E83" s="149">
        <f>重复性!K10</f>
        <v>10</v>
      </c>
      <c r="F83" s="149"/>
      <c r="G83" s="150">
        <f>重复性!H10</f>
        <v>10.007250000000001</v>
      </c>
      <c r="H83" s="150"/>
      <c r="I83" s="5">
        <f t="shared" si="1"/>
        <v>-7.2447475580213014E-2</v>
      </c>
      <c r="J83" s="127"/>
      <c r="K83" s="162"/>
      <c r="L83" s="141"/>
      <c r="M83" s="14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58" t="s">
        <v>112</v>
      </c>
      <c r="C85" s="159"/>
      <c r="D85" s="124" t="s">
        <v>109</v>
      </c>
      <c r="E85" s="156"/>
      <c r="F85" s="156"/>
      <c r="G85" s="157"/>
      <c r="H85" s="124" t="s">
        <v>110</v>
      </c>
      <c r="I85" s="156"/>
      <c r="J85" s="157"/>
      <c r="K85" s="40" t="s">
        <v>111</v>
      </c>
      <c r="L85" s="148" t="s">
        <v>115</v>
      </c>
      <c r="M85" s="14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60"/>
      <c r="C86" s="161"/>
      <c r="D86" s="141" t="s">
        <v>114</v>
      </c>
      <c r="E86" s="134"/>
      <c r="F86" s="134"/>
      <c r="G86" s="142"/>
      <c r="H86" s="141" t="s">
        <v>114</v>
      </c>
      <c r="I86" s="134"/>
      <c r="J86" s="142"/>
      <c r="K86" s="29" t="s">
        <v>114</v>
      </c>
      <c r="L86" s="148"/>
      <c r="M86" s="14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127" t="s">
        <v>118</v>
      </c>
      <c r="C87" s="127"/>
      <c r="D87" s="162">
        <f>用户模式!J2</f>
        <v>0.12580819635072496</v>
      </c>
      <c r="E87" s="162"/>
      <c r="F87" s="162"/>
      <c r="G87" s="162"/>
      <c r="H87" s="126">
        <f>J17</f>
        <v>0.14636619693461625</v>
      </c>
      <c r="I87" s="127"/>
      <c r="J87" s="127"/>
      <c r="K87" s="30">
        <f>D87-H87</f>
        <v>-2.0558000583891289E-2</v>
      </c>
      <c r="L87" s="148" t="s">
        <v>116</v>
      </c>
      <c r="M87" s="12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9" t="s">
        <v>50</v>
      </c>
      <c r="C99" s="100"/>
      <c r="D99" s="17"/>
      <c r="E99" s="17"/>
      <c r="F99" s="17"/>
      <c r="G99" s="101" t="s">
        <v>51</v>
      </c>
      <c r="H99" s="102"/>
      <c r="I99" s="17"/>
      <c r="J99" s="20" t="s">
        <v>52</v>
      </c>
      <c r="K99" s="102" t="inlineStr">
        <is>
          <t>2025.09.25 09:00~2025.09.26 16:00</t>
        </is>
      </c>
      <c r="L99" s="17"/>
      <c r="M99" s="10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03" t="s">
        <v>58</v>
      </c>
      <c r="M101" s="10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04" t="s">
        <v>67</v>
      </c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05" t="s">
        <v>55</v>
      </c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06" t="s">
        <v>68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08" t="s">
        <v>22</v>
      </c>
      <c r="J108" s="108"/>
      <c r="K108" s="109" t="str">
        <f>K4</f>
        <v>2026E70-40-000006</v>
      </c>
      <c r="L108" s="109"/>
      <c r="M108" s="109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11" t="str">
        <f>C5</f>
        <v>上海真兰仪表科技股份有限公司</v>
      </c>
      <c r="D109" s="111"/>
      <c r="E109" s="111"/>
      <c r="F109" s="111"/>
      <c r="G109" s="111"/>
      <c r="H109" s="111"/>
      <c r="I109" s="108" t="s">
        <v>140</v>
      </c>
      <c r="J109" s="108"/>
      <c r="K109" s="109" t="str">
        <f>K5</f>
        <v>超声波燃气表</v>
      </c>
      <c r="L109" s="109"/>
      <c r="M109" s="109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11" t="str">
        <f>C6</f>
        <v>上海真兰仪表科技股份有限公司</v>
      </c>
      <c r="D110" s="111"/>
      <c r="E110" s="111"/>
      <c r="F110" s="111"/>
      <c r="G110" s="111"/>
      <c r="H110" s="111"/>
      <c r="I110" s="108" t="s">
        <v>135</v>
      </c>
      <c r="J110" s="108"/>
      <c r="K110" s="109" t="str">
        <f>K6</f>
        <v>UG1.6A LP Z2-NB</v>
      </c>
      <c r="L110" s="109"/>
      <c r="M110" s="109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13" t="str">
        <f>C7</f>
        <v>2582928128</v>
      </c>
      <c r="D111" s="113"/>
      <c r="E111" s="113"/>
      <c r="F111" s="113"/>
      <c r="G111" s="115" t="s">
        <v>136</v>
      </c>
      <c r="H111" s="115"/>
      <c r="I111" s="51" t="s">
        <v>137</v>
      </c>
      <c r="J111" s="55" t="s">
        <v>138</v>
      </c>
      <c r="K111" s="52" t="s">
        <v>37</v>
      </c>
      <c r="L111" s="53" t="s">
        <v>38</v>
      </c>
      <c r="M111" s="52" t="s">
        <v>141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41</v>
      </c>
      <c r="C112" s="113" t="str">
        <f>C8</f>
        <v>(100~101)kPa</v>
      </c>
      <c r="D112" s="113"/>
      <c r="E112" s="113"/>
      <c r="F112" s="113"/>
      <c r="G112" s="143" t="s">
        <v>139</v>
      </c>
      <c r="H112" s="143"/>
      <c r="I112" s="109" t="str">
        <f>I8</f>
        <v>(0.016~2.5)m³/h</v>
      </c>
      <c r="J112" s="109"/>
      <c r="K112" s="55"/>
      <c r="L112" s="102"/>
      <c r="M112" s="10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45</v>
      </c>
      <c r="C113" s="109" t="s">
        <v>46</v>
      </c>
      <c r="D113" s="109"/>
      <c r="E113" s="109"/>
      <c r="F113" s="109"/>
      <c r="G113" s="109"/>
      <c r="H113" s="109"/>
      <c r="I113" s="18" t="s">
        <v>47</v>
      </c>
      <c r="J113" s="109" t="s">
        <v>195</v>
      </c>
      <c r="K113" s="109"/>
      <c r="L113" s="44"/>
      <c r="M113" s="5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65</v>
      </c>
      <c r="C114" s="12" t="s">
        <v>142</v>
      </c>
      <c r="D114" s="12" t="s">
        <v>143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49</v>
      </c>
      <c r="C115" s="134" t="s">
        <v>77</v>
      </c>
      <c r="D115" s="134"/>
      <c r="E115" s="48">
        <f>E12</f>
        <v>2.5</v>
      </c>
      <c r="F115" s="26" t="s">
        <v>78</v>
      </c>
      <c r="G115" s="134" t="s">
        <v>79</v>
      </c>
      <c r="H115" s="134"/>
      <c r="I115" s="48">
        <f>I12</f>
        <v>1.6E-2</v>
      </c>
      <c r="J115" s="26" t="s">
        <v>78</v>
      </c>
      <c r="K115" s="48" t="s">
        <v>95</v>
      </c>
      <c r="L115" s="48">
        <f>L12</f>
        <v>0.25</v>
      </c>
      <c r="M115" s="26" t="s">
        <v>78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23" t="s">
        <v>144</v>
      </c>
      <c r="C116" s="127" t="s">
        <v>145</v>
      </c>
      <c r="D116" s="127"/>
      <c r="E116" s="137" t="s">
        <v>146</v>
      </c>
      <c r="F116" s="138"/>
      <c r="G116" s="137" t="s">
        <v>147</v>
      </c>
      <c r="H116" s="138"/>
      <c r="I116" s="123" t="s">
        <v>148</v>
      </c>
      <c r="J116" s="137" t="s">
        <v>149</v>
      </c>
      <c r="K116" s="138"/>
      <c r="L116" s="124" t="s">
        <v>150</v>
      </c>
      <c r="M116" s="14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21"/>
      <c r="C117" s="127"/>
      <c r="D117" s="127"/>
      <c r="E117" s="139"/>
      <c r="F117" s="140"/>
      <c r="G117" s="139"/>
      <c r="H117" s="140"/>
      <c r="I117" s="121"/>
      <c r="J117" s="139"/>
      <c r="K117" s="140"/>
      <c r="L117" s="146"/>
      <c r="M117" s="14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21"/>
      <c r="C118" s="135"/>
      <c r="D118" s="136"/>
      <c r="E118" s="139"/>
      <c r="F118" s="140"/>
      <c r="G118" s="139"/>
      <c r="H118" s="140"/>
      <c r="I118" s="121"/>
      <c r="J118" s="139"/>
      <c r="K118" s="140"/>
      <c r="L118" s="146"/>
      <c r="M118" s="14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22"/>
      <c r="C119" s="135"/>
      <c r="D119" s="136"/>
      <c r="E119" s="141" t="s">
        <v>151</v>
      </c>
      <c r="F119" s="134"/>
      <c r="G119" s="141" t="s">
        <v>151</v>
      </c>
      <c r="H119" s="134"/>
      <c r="I119" s="46" t="s">
        <v>152</v>
      </c>
      <c r="J119" s="141" t="s">
        <v>152</v>
      </c>
      <c r="K119" s="142"/>
      <c r="L119" s="141"/>
      <c r="M119" s="14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127" t="s">
        <v>153</v>
      </c>
      <c r="C120" s="127">
        <v>1</v>
      </c>
      <c r="D120" s="127"/>
      <c r="E120" s="149">
        <v>200</v>
      </c>
      <c r="F120" s="149"/>
      <c r="G120" s="150">
        <v>199.62739999999999</v>
      </c>
      <c r="H120" s="150"/>
      <c r="I120" s="5">
        <f t="shared" ref="I120:I131" si="2">(E120-G120)/G120*100</f>
        <v>0.18664772471113966</v>
      </c>
      <c r="J120" s="93">
        <f>AVERAGE(I120:I121)</f>
        <v>0.18464033228024146</v>
      </c>
      <c r="K120" s="94"/>
      <c r="L120" s="151" t="s">
        <v>156</v>
      </c>
      <c r="M120" s="14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127"/>
      <c r="C121" s="127">
        <v>2</v>
      </c>
      <c r="D121" s="127"/>
      <c r="E121" s="149">
        <v>200</v>
      </c>
      <c r="F121" s="149"/>
      <c r="G121" s="150">
        <v>199.6354</v>
      </c>
      <c r="H121" s="150"/>
      <c r="I121" s="5">
        <f t="shared" si="2"/>
        <v>0.18263293984934326</v>
      </c>
      <c r="J121" s="97"/>
      <c r="K121" s="98"/>
      <c r="L121" s="146"/>
      <c r="M121" s="14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127" t="s">
        <v>154</v>
      </c>
      <c r="C122" s="127">
        <v>1</v>
      </c>
      <c r="D122" s="127"/>
      <c r="E122" s="149">
        <v>100</v>
      </c>
      <c r="F122" s="149"/>
      <c r="G122" s="150">
        <v>99.987700000000004</v>
      </c>
      <c r="H122" s="150"/>
      <c r="I122" s="5">
        <f t="shared" si="2"/>
        <v>1.2301513086105794E-2</v>
      </c>
      <c r="J122" s="93">
        <f>AVERAGE(I122:I123)</f>
        <v>9.9510453650016144E-3</v>
      </c>
      <c r="K122" s="94"/>
      <c r="L122" s="146"/>
      <c r="M122" s="14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127"/>
      <c r="C123" s="127">
        <v>2</v>
      </c>
      <c r="D123" s="127"/>
      <c r="E123" s="149">
        <v>100</v>
      </c>
      <c r="F123" s="149"/>
      <c r="G123" s="150">
        <v>99.992400000000004</v>
      </c>
      <c r="H123" s="150"/>
      <c r="I123" s="5">
        <f t="shared" si="2"/>
        <v>7.6005776438974344E-3</v>
      </c>
      <c r="J123" s="97"/>
      <c r="K123" s="98"/>
      <c r="L123" s="146"/>
      <c r="M123" s="14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127" t="s">
        <v>155</v>
      </c>
      <c r="C124" s="127">
        <v>1</v>
      </c>
      <c r="D124" s="127"/>
      <c r="E124" s="149">
        <v>50</v>
      </c>
      <c r="F124" s="149"/>
      <c r="G124" s="150">
        <v>50.023600000000002</v>
      </c>
      <c r="H124" s="150"/>
      <c r="I124" s="5">
        <f t="shared" si="2"/>
        <v>-4.7177732110447554E-2</v>
      </c>
      <c r="J124" s="93">
        <f>AVERAGE(I124:I125)</f>
        <v>-5.7665625705144767E-2</v>
      </c>
      <c r="K124" s="94"/>
      <c r="L124" s="146"/>
      <c r="M124" s="14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127"/>
      <c r="C125" s="127">
        <v>2</v>
      </c>
      <c r="D125" s="127"/>
      <c r="E125" s="149">
        <v>50</v>
      </c>
      <c r="F125" s="149"/>
      <c r="G125" s="150">
        <v>50.034100000000002</v>
      </c>
      <c r="H125" s="150"/>
      <c r="I125" s="5">
        <f t="shared" si="2"/>
        <v>-6.815351929984198E-2</v>
      </c>
      <c r="J125" s="97"/>
      <c r="K125" s="98"/>
      <c r="L125" s="146"/>
      <c r="M125" s="14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127" t="s">
        <v>153</v>
      </c>
      <c r="C126" s="127">
        <v>1</v>
      </c>
      <c r="D126" s="127"/>
      <c r="E126" s="149">
        <f>温度适应性!B4</f>
        <v>0</v>
      </c>
      <c r="F126" s="149"/>
      <c r="G126" s="150">
        <f>温度适应性!F4</f>
        <v>0</v>
      </c>
      <c r="H126" s="150"/>
      <c r="I126" s="5" t="e">
        <f t="shared" si="2"/>
        <v>#DIV/0!</v>
      </c>
      <c r="J126" s="93" t="e">
        <f>AVERAGE(I126:I127)</f>
        <v>#DIV/0!</v>
      </c>
      <c r="K126" s="94"/>
      <c r="L126" s="151" t="s">
        <v>193</v>
      </c>
      <c r="M126" s="14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127"/>
      <c r="C127" s="127">
        <v>2</v>
      </c>
      <c r="D127" s="127"/>
      <c r="E127" s="149">
        <f>温度适应性!B5</f>
        <v>0</v>
      </c>
      <c r="F127" s="149"/>
      <c r="G127" s="150">
        <f>温度适应性!F5</f>
        <v>0</v>
      </c>
      <c r="H127" s="150"/>
      <c r="I127" s="5" t="e">
        <f t="shared" si="2"/>
        <v>#DIV/0!</v>
      </c>
      <c r="J127" s="97"/>
      <c r="K127" s="98"/>
      <c r="L127" s="146"/>
      <c r="M127" s="14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127" t="s">
        <v>154</v>
      </c>
      <c r="C128" s="127">
        <v>1</v>
      </c>
      <c r="D128" s="127"/>
      <c r="E128" s="149">
        <f>温度适应性!B6</f>
        <v>0</v>
      </c>
      <c r="F128" s="149"/>
      <c r="G128" s="150">
        <f>温度适应性!F6</f>
        <v>0</v>
      </c>
      <c r="H128" s="150"/>
      <c r="I128" s="5" t="e">
        <f t="shared" si="2"/>
        <v>#DIV/0!</v>
      </c>
      <c r="J128" s="93" t="e">
        <f>AVERAGE(I128:I129)</f>
        <v>#DIV/0!</v>
      </c>
      <c r="K128" s="94"/>
      <c r="L128" s="146"/>
      <c r="M128" s="14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127"/>
      <c r="C129" s="127">
        <v>2</v>
      </c>
      <c r="D129" s="127"/>
      <c r="E129" s="149">
        <f>温度适应性!B7</f>
        <v>0</v>
      </c>
      <c r="F129" s="149"/>
      <c r="G129" s="150">
        <f>温度适应性!F7</f>
        <v>0</v>
      </c>
      <c r="H129" s="150"/>
      <c r="I129" s="5" t="e">
        <f t="shared" si="2"/>
        <v>#DIV/0!</v>
      </c>
      <c r="J129" s="97"/>
      <c r="K129" s="98"/>
      <c r="L129" s="146"/>
      <c r="M129" s="14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127" t="s">
        <v>155</v>
      </c>
      <c r="C130" s="127">
        <v>1</v>
      </c>
      <c r="D130" s="127"/>
      <c r="E130" s="149">
        <f>温度适应性!B8</f>
        <v>0</v>
      </c>
      <c r="F130" s="149"/>
      <c r="G130" s="150">
        <f>温度适应性!F8</f>
        <v>0</v>
      </c>
      <c r="H130" s="150"/>
      <c r="I130" s="5" t="e">
        <f t="shared" si="2"/>
        <v>#DIV/0!</v>
      </c>
      <c r="J130" s="93" t="e">
        <f>AVERAGE(I130:I131)</f>
        <v>#DIV/0!</v>
      </c>
      <c r="K130" s="94"/>
      <c r="L130" s="146"/>
      <c r="M130" s="14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127"/>
      <c r="C131" s="127">
        <v>2</v>
      </c>
      <c r="D131" s="127"/>
      <c r="E131" s="149">
        <f>温度适应性!B9</f>
        <v>0</v>
      </c>
      <c r="F131" s="149"/>
      <c r="G131" s="150">
        <f>温度适应性!F9</f>
        <v>0</v>
      </c>
      <c r="H131" s="150"/>
      <c r="I131" s="5" t="e">
        <f t="shared" si="2"/>
        <v>#DIV/0!</v>
      </c>
      <c r="J131" s="95"/>
      <c r="K131" s="96"/>
      <c r="L131" s="141"/>
      <c r="M131" s="14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127" t="s">
        <v>153</v>
      </c>
      <c r="C132" s="127">
        <v>1</v>
      </c>
      <c r="D132" s="127"/>
      <c r="E132" s="149">
        <f>温度适应性!B14</f>
        <v>0</v>
      </c>
      <c r="F132" s="149"/>
      <c r="G132" s="150">
        <f>温度适应性!F14</f>
        <v>0</v>
      </c>
      <c r="H132" s="150"/>
      <c r="I132" s="5" t="e">
        <f t="shared" ref="I132:I143" si="3">(E132-G132)/G132*100</f>
        <v>#DIV/0!</v>
      </c>
      <c r="J132" s="93" t="e">
        <f>AVERAGE(I132:I133)</f>
        <v>#DIV/0!</v>
      </c>
      <c r="K132" s="94"/>
      <c r="L132" s="151" t="s">
        <v>192</v>
      </c>
      <c r="M132" s="14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127"/>
      <c r="C133" s="127">
        <v>2</v>
      </c>
      <c r="D133" s="127"/>
      <c r="E133" s="149">
        <f>温度适应性!B15</f>
        <v>0</v>
      </c>
      <c r="F133" s="149"/>
      <c r="G133" s="150">
        <f>温度适应性!F15</f>
        <v>0</v>
      </c>
      <c r="H133" s="150"/>
      <c r="I133" s="5" t="e">
        <f t="shared" si="3"/>
        <v>#DIV/0!</v>
      </c>
      <c r="J133" s="97"/>
      <c r="K133" s="98"/>
      <c r="L133" s="146"/>
      <c r="M133" s="14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127" t="s">
        <v>154</v>
      </c>
      <c r="C134" s="127">
        <v>1</v>
      </c>
      <c r="D134" s="127"/>
      <c r="E134" s="149">
        <f>温度适应性!B16</f>
        <v>0</v>
      </c>
      <c r="F134" s="149"/>
      <c r="G134" s="150">
        <f>温度适应性!F16</f>
        <v>0</v>
      </c>
      <c r="H134" s="150"/>
      <c r="I134" s="5" t="e">
        <f t="shared" si="3"/>
        <v>#DIV/0!</v>
      </c>
      <c r="J134" s="93" t="e">
        <f>AVERAGE(I134:I135)</f>
        <v>#DIV/0!</v>
      </c>
      <c r="K134" s="94"/>
      <c r="L134" s="146"/>
      <c r="M134" s="14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127"/>
      <c r="C135" s="127">
        <v>2</v>
      </c>
      <c r="D135" s="127"/>
      <c r="E135" s="149">
        <f>温度适应性!B17</f>
        <v>0</v>
      </c>
      <c r="F135" s="149"/>
      <c r="G135" s="150">
        <f>温度适应性!F17</f>
        <v>0</v>
      </c>
      <c r="H135" s="150"/>
      <c r="I135" s="5" t="e">
        <f t="shared" si="3"/>
        <v>#DIV/0!</v>
      </c>
      <c r="J135" s="97"/>
      <c r="K135" s="98"/>
      <c r="L135" s="146"/>
      <c r="M135" s="14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127" t="s">
        <v>155</v>
      </c>
      <c r="C136" s="127">
        <v>1</v>
      </c>
      <c r="D136" s="127"/>
      <c r="E136" s="149">
        <f>温度适应性!B18</f>
        <v>0</v>
      </c>
      <c r="F136" s="149"/>
      <c r="G136" s="150">
        <f>温度适应性!F18</f>
        <v>0</v>
      </c>
      <c r="H136" s="150"/>
      <c r="I136" s="5" t="e">
        <f t="shared" si="3"/>
        <v>#DIV/0!</v>
      </c>
      <c r="J136" s="93" t="e">
        <f>AVERAGE(I136:I137)</f>
        <v>#DIV/0!</v>
      </c>
      <c r="K136" s="94"/>
      <c r="L136" s="146"/>
      <c r="M136" s="14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127"/>
      <c r="C137" s="127">
        <v>2</v>
      </c>
      <c r="D137" s="127"/>
      <c r="E137" s="149">
        <f>温度适应性!B19</f>
        <v>0</v>
      </c>
      <c r="F137" s="149"/>
      <c r="G137" s="150">
        <f>温度适应性!F19</f>
        <v>0</v>
      </c>
      <c r="H137" s="150"/>
      <c r="I137" s="5" t="e">
        <f t="shared" si="3"/>
        <v>#DIV/0!</v>
      </c>
      <c r="J137" s="97"/>
      <c r="K137" s="98"/>
      <c r="L137" s="141"/>
      <c r="M137" s="14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127" t="s">
        <v>153</v>
      </c>
      <c r="C138" s="127">
        <v>1</v>
      </c>
      <c r="D138" s="127"/>
      <c r="E138" s="149">
        <v>200</v>
      </c>
      <c r="F138" s="149"/>
      <c r="G138" s="150">
        <v>199.64869999999999</v>
      </c>
      <c r="H138" s="150"/>
      <c r="I138" s="5">
        <f t="shared" si="3"/>
        <v>0.17595907211016604</v>
      </c>
      <c r="J138" s="93">
        <f>AVERAGE(I138:I139)</f>
        <v>0.16625187572198322</v>
      </c>
      <c r="K138" s="94"/>
      <c r="L138" s="151" t="s">
        <v>157</v>
      </c>
      <c r="M138" s="14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127"/>
      <c r="C139" s="127">
        <v>2</v>
      </c>
      <c r="D139" s="127"/>
      <c r="E139" s="149">
        <v>200</v>
      </c>
      <c r="F139" s="149"/>
      <c r="G139" s="150">
        <v>199.6874</v>
      </c>
      <c r="H139" s="150"/>
      <c r="I139" s="5">
        <f t="shared" si="3"/>
        <v>0.1565446793338004</v>
      </c>
      <c r="J139" s="97"/>
      <c r="K139" s="98"/>
      <c r="L139" s="146"/>
      <c r="M139" s="14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127" t="s">
        <v>154</v>
      </c>
      <c r="C140" s="127">
        <v>1</v>
      </c>
      <c r="D140" s="127"/>
      <c r="E140" s="149">
        <v>100</v>
      </c>
      <c r="F140" s="149"/>
      <c r="G140" s="150">
        <v>99.987200000000001</v>
      </c>
      <c r="H140" s="150"/>
      <c r="I140" s="5">
        <f t="shared" si="3"/>
        <v>1.2801638609740639E-2</v>
      </c>
      <c r="J140" s="93">
        <f>AVERAGE(I140:I141)</f>
        <v>1.9154071384147466E-2</v>
      </c>
      <c r="K140" s="94"/>
      <c r="L140" s="146"/>
      <c r="M140" s="14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127"/>
      <c r="C141" s="127">
        <v>2</v>
      </c>
      <c r="D141" s="127"/>
      <c r="E141" s="149">
        <v>100</v>
      </c>
      <c r="F141" s="149"/>
      <c r="G141" s="150">
        <v>99.974500000000006</v>
      </c>
      <c r="H141" s="150"/>
      <c r="I141" s="5">
        <f t="shared" si="3"/>
        <v>2.5506504158554291E-2</v>
      </c>
      <c r="J141" s="97"/>
      <c r="K141" s="98"/>
      <c r="L141" s="146"/>
      <c r="M141" s="14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127" t="s">
        <v>155</v>
      </c>
      <c r="C142" s="127">
        <v>1</v>
      </c>
      <c r="D142" s="127"/>
      <c r="E142" s="149">
        <v>50</v>
      </c>
      <c r="F142" s="149"/>
      <c r="G142" s="150">
        <v>50.038899999999998</v>
      </c>
      <c r="H142" s="150"/>
      <c r="I142" s="5">
        <f t="shared" si="3"/>
        <v>-7.7739518654483128E-2</v>
      </c>
      <c r="J142" s="93">
        <f>AVERAGE(I142:I143)</f>
        <v>-7.1348648049570917E-2</v>
      </c>
      <c r="K142" s="94"/>
      <c r="L142" s="146"/>
      <c r="M142" s="14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127"/>
      <c r="C143" s="127">
        <v>2</v>
      </c>
      <c r="D143" s="127"/>
      <c r="E143" s="149">
        <v>50</v>
      </c>
      <c r="F143" s="149"/>
      <c r="G143" s="150">
        <v>50.032499999999999</v>
      </c>
      <c r="H143" s="150"/>
      <c r="I143" s="5">
        <f t="shared" si="3"/>
        <v>-6.4957777444658693E-2</v>
      </c>
      <c r="J143" s="95"/>
      <c r="K143" s="96"/>
      <c r="L143" s="141"/>
      <c r="M143" s="14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9" t="s">
        <v>50</v>
      </c>
      <c r="C145" s="100"/>
      <c r="D145" s="45"/>
      <c r="E145" s="45"/>
      <c r="F145" s="45"/>
      <c r="G145" s="101" t="s">
        <v>51</v>
      </c>
      <c r="H145" s="102"/>
      <c r="I145" s="45"/>
      <c r="J145" s="44" t="s">
        <v>52</v>
      </c>
      <c r="K145" s="102" t="inlineStr">
        <is>
          <t>2025.10.27 09:00~2025.10.30 16:00</t>
        </is>
      </c>
      <c r="L145" s="45"/>
      <c r="M145" s="10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3" t="s">
        <v>58</v>
      </c>
      <c r="M147" s="10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04" t="s">
        <v>67</v>
      </c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05" t="s">
        <v>55</v>
      </c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06" t="s">
        <v>68</v>
      </c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08" t="s">
        <v>22</v>
      </c>
      <c r="J153" s="108"/>
      <c r="K153" s="109" t="str">
        <f>K4</f>
        <v>2026E70-40-000006</v>
      </c>
      <c r="L153" s="109"/>
      <c r="M153" s="109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11" t="str">
        <f>C5</f>
        <v>上海真兰仪表科技股份有限公司</v>
      </c>
      <c r="D154" s="111"/>
      <c r="E154" s="111"/>
      <c r="F154" s="111"/>
      <c r="G154" s="111"/>
      <c r="H154" s="111"/>
      <c r="I154" s="108" t="s">
        <v>140</v>
      </c>
      <c r="J154" s="108"/>
      <c r="K154" s="109" t="str">
        <f>K5</f>
        <v>超声波燃气表</v>
      </c>
      <c r="L154" s="109"/>
      <c r="M154" s="109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11" t="str">
        <f>C6</f>
        <v>上海真兰仪表科技股份有限公司</v>
      </c>
      <c r="D155" s="111"/>
      <c r="E155" s="111"/>
      <c r="F155" s="111"/>
      <c r="G155" s="111"/>
      <c r="H155" s="111"/>
      <c r="I155" s="108" t="s">
        <v>135</v>
      </c>
      <c r="J155" s="108"/>
      <c r="K155" s="109" t="str">
        <f>K6</f>
        <v>UG1.6A LP Z2-NB</v>
      </c>
      <c r="L155" s="109"/>
      <c r="M155" s="109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13" t="str">
        <f>C7</f>
        <v>2582928128</v>
      </c>
      <c r="D156" s="113"/>
      <c r="E156" s="113"/>
      <c r="F156" s="113"/>
      <c r="G156" s="115" t="s">
        <v>136</v>
      </c>
      <c r="H156" s="115"/>
      <c r="I156" s="51" t="s">
        <v>137</v>
      </c>
      <c r="J156" s="55" t="s">
        <v>138</v>
      </c>
      <c r="K156" s="52" t="s">
        <v>37</v>
      </c>
      <c r="L156" s="53" t="s">
        <v>38</v>
      </c>
      <c r="M156" s="52" t="s">
        <v>163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41</v>
      </c>
      <c r="C157" s="113" t="str">
        <f>C8</f>
        <v>(100~101)kPa</v>
      </c>
      <c r="D157" s="113"/>
      <c r="E157" s="113"/>
      <c r="F157" s="113"/>
      <c r="G157" s="143" t="s">
        <v>139</v>
      </c>
      <c r="H157" s="143"/>
      <c r="I157" s="109" t="str">
        <f>I8</f>
        <v>(0.016~2.5)m³/h</v>
      </c>
      <c r="J157" s="109"/>
      <c r="K157" s="55"/>
      <c r="L157" s="102"/>
      <c r="M157" s="10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45</v>
      </c>
      <c r="C158" s="109" t="s">
        <v>46</v>
      </c>
      <c r="D158" s="109"/>
      <c r="E158" s="109"/>
      <c r="F158" s="109"/>
      <c r="G158" s="109"/>
      <c r="H158" s="109"/>
      <c r="I158" s="18" t="s">
        <v>47</v>
      </c>
      <c r="J158" s="109" t="s">
        <v>195</v>
      </c>
      <c r="K158" s="109"/>
      <c r="L158" s="44"/>
      <c r="M158" s="5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65</v>
      </c>
      <c r="C159" s="12" t="s">
        <v>142</v>
      </c>
      <c r="D159" s="144">
        <v>2816</v>
      </c>
      <c r="E159" s="144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49</v>
      </c>
      <c r="C160" s="134" t="s">
        <v>77</v>
      </c>
      <c r="D160" s="134"/>
      <c r="E160" s="48">
        <f>E12</f>
        <v>2.5</v>
      </c>
      <c r="F160" s="26" t="s">
        <v>78</v>
      </c>
      <c r="G160" s="134" t="s">
        <v>79</v>
      </c>
      <c r="H160" s="134"/>
      <c r="I160" s="48">
        <f>I12</f>
        <v>1.6E-2</v>
      </c>
      <c r="J160" s="26" t="s">
        <v>78</v>
      </c>
      <c r="K160" s="48" t="s">
        <v>95</v>
      </c>
      <c r="L160" s="48">
        <f>L12</f>
        <v>0.25</v>
      </c>
      <c r="M160" s="26" t="s">
        <v>78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23" t="s">
        <v>144</v>
      </c>
      <c r="C161" s="127" t="s">
        <v>145</v>
      </c>
      <c r="D161" s="127"/>
      <c r="E161" s="137" t="s">
        <v>146</v>
      </c>
      <c r="F161" s="138"/>
      <c r="G161" s="137" t="s">
        <v>147</v>
      </c>
      <c r="H161" s="138"/>
      <c r="I161" s="123" t="s">
        <v>148</v>
      </c>
      <c r="J161" s="137" t="s">
        <v>149</v>
      </c>
      <c r="K161" s="138"/>
      <c r="L161" s="124" t="s">
        <v>150</v>
      </c>
      <c r="M161" s="14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21"/>
      <c r="C162" s="127"/>
      <c r="D162" s="127"/>
      <c r="E162" s="139"/>
      <c r="F162" s="140"/>
      <c r="G162" s="139"/>
      <c r="H162" s="140"/>
      <c r="I162" s="121"/>
      <c r="J162" s="139"/>
      <c r="K162" s="140"/>
      <c r="L162" s="146"/>
      <c r="M162" s="14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21"/>
      <c r="C163" s="135"/>
      <c r="D163" s="136"/>
      <c r="E163" s="139"/>
      <c r="F163" s="140"/>
      <c r="G163" s="139"/>
      <c r="H163" s="140"/>
      <c r="I163" s="121"/>
      <c r="J163" s="139"/>
      <c r="K163" s="140"/>
      <c r="L163" s="146"/>
      <c r="M163" s="14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22"/>
      <c r="C164" s="135"/>
      <c r="D164" s="136"/>
      <c r="E164" s="141" t="s">
        <v>151</v>
      </c>
      <c r="F164" s="134"/>
      <c r="G164" s="141" t="s">
        <v>151</v>
      </c>
      <c r="H164" s="134"/>
      <c r="I164" s="46" t="s">
        <v>152</v>
      </c>
      <c r="J164" s="141" t="s">
        <v>152</v>
      </c>
      <c r="K164" s="142"/>
      <c r="L164" s="141"/>
      <c r="M164" s="14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127" t="s">
        <v>153</v>
      </c>
      <c r="C165" s="127">
        <v>1</v>
      </c>
      <c r="D165" s="127"/>
      <c r="E165" s="133">
        <f>环适复测!K2</f>
        <v>50</v>
      </c>
      <c r="F165" s="133"/>
      <c r="G165" s="132">
        <f>环适复测!H2</f>
        <v>49.992539999999998</v>
      </c>
      <c r="H165" s="132"/>
      <c r="I165" s="49">
        <f t="shared" ref="I165:I170" si="4">(E165-G165)/G165*100</f>
        <v>1.4922226396181909E-2</v>
      </c>
      <c r="J165" s="126">
        <f>AVERAGE(I165:I166)</f>
        <v>0.10587443633004912</v>
      </c>
      <c r="K165" s="126"/>
      <c r="L165" s="148" t="s">
        <v>164</v>
      </c>
      <c r="M165" s="127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127"/>
      <c r="C166" s="127">
        <v>2</v>
      </c>
      <c r="D166" s="127"/>
      <c r="E166" s="133">
        <f>环适复测!K5</f>
        <v>50</v>
      </c>
      <c r="F166" s="133"/>
      <c r="G166" s="132">
        <f>环适复测!H5</f>
        <v>49.901780000000002</v>
      </c>
      <c r="H166" s="132"/>
      <c r="I166" s="49">
        <f t="shared" si="4"/>
        <v>0.19682664626391633</v>
      </c>
      <c r="J166" s="126"/>
      <c r="K166" s="126"/>
      <c r="L166" s="127"/>
      <c r="M166" s="12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127" t="s">
        <v>161</v>
      </c>
      <c r="C167" s="127">
        <v>1</v>
      </c>
      <c r="D167" s="127"/>
      <c r="E167" s="133">
        <f>环适复测!K3</f>
        <v>20</v>
      </c>
      <c r="F167" s="133"/>
      <c r="G167" s="132">
        <f>环适复测!H3</f>
        <v>19.995930000000001</v>
      </c>
      <c r="H167" s="132"/>
      <c r="I167" s="49">
        <f t="shared" si="4"/>
        <v>2.0354142067904247E-2</v>
      </c>
      <c r="J167" s="126">
        <f>AVERAGE(I167:I168)</f>
        <v>8.7471374791802808E-2</v>
      </c>
      <c r="K167" s="126"/>
      <c r="L167" s="127"/>
      <c r="M167" s="127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127"/>
      <c r="C168" s="127">
        <v>2</v>
      </c>
      <c r="D168" s="127"/>
      <c r="E168" s="133">
        <f>环适复测!K6</f>
        <v>20</v>
      </c>
      <c r="F168" s="133"/>
      <c r="G168" s="132">
        <f>环适复测!H6</f>
        <v>19.96913</v>
      </c>
      <c r="H168" s="132"/>
      <c r="I168" s="49">
        <f t="shared" si="4"/>
        <v>0.15458860751570136</v>
      </c>
      <c r="J168" s="126"/>
      <c r="K168" s="126"/>
      <c r="L168" s="127"/>
      <c r="M168" s="127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127" t="s">
        <v>162</v>
      </c>
      <c r="C169" s="127">
        <v>1</v>
      </c>
      <c r="D169" s="127"/>
      <c r="E169" s="133">
        <f>环适复测!K4</f>
        <v>10</v>
      </c>
      <c r="F169" s="133"/>
      <c r="G169" s="132">
        <f>环适复测!H4</f>
        <v>9.9822310000000005</v>
      </c>
      <c r="H169" s="132"/>
      <c r="I169" s="49">
        <f t="shared" si="4"/>
        <v>0.17800629939338691</v>
      </c>
      <c r="J169" s="126">
        <f>AVERAGE(I169:I170)</f>
        <v>0.22621365368295224</v>
      </c>
      <c r="K169" s="126"/>
      <c r="L169" s="127"/>
      <c r="M169" s="127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127"/>
      <c r="C170" s="127">
        <v>2</v>
      </c>
      <c r="D170" s="127"/>
      <c r="E170" s="133">
        <f>环适复测!K7</f>
        <v>10</v>
      </c>
      <c r="F170" s="133"/>
      <c r="G170" s="132">
        <f>环适复测!H7</f>
        <v>9.9726330000000001</v>
      </c>
      <c r="H170" s="132"/>
      <c r="I170" s="49">
        <f t="shared" si="4"/>
        <v>0.27442100797251756</v>
      </c>
      <c r="J170" s="126"/>
      <c r="K170" s="126"/>
      <c r="L170" s="127"/>
      <c r="M170" s="127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29"/>
      <c r="C171" s="129"/>
      <c r="D171" s="129"/>
      <c r="E171" s="130"/>
      <c r="F171" s="130"/>
      <c r="G171" s="128"/>
      <c r="H171" s="128"/>
      <c r="I171" s="65"/>
      <c r="J171" s="131"/>
      <c r="K171" s="131"/>
      <c r="L171" s="129"/>
      <c r="M171" s="129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29"/>
      <c r="C172" s="129"/>
      <c r="D172" s="129"/>
      <c r="E172" s="130"/>
      <c r="F172" s="130"/>
      <c r="G172" s="128"/>
      <c r="H172" s="128"/>
      <c r="I172" s="65"/>
      <c r="J172" s="131"/>
      <c r="K172" s="131"/>
      <c r="L172" s="129"/>
      <c r="M172" s="129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29"/>
      <c r="C173" s="129"/>
      <c r="D173" s="129"/>
      <c r="E173" s="130"/>
      <c r="F173" s="130"/>
      <c r="G173" s="128"/>
      <c r="H173" s="128"/>
      <c r="I173" s="65"/>
      <c r="J173" s="131"/>
      <c r="K173" s="131"/>
      <c r="L173" s="129"/>
      <c r="M173" s="129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29"/>
      <c r="C174" s="129"/>
      <c r="D174" s="129"/>
      <c r="E174" s="130"/>
      <c r="F174" s="130"/>
      <c r="G174" s="128"/>
      <c r="H174" s="128"/>
      <c r="I174" s="65"/>
      <c r="J174" s="131"/>
      <c r="K174" s="131"/>
      <c r="L174" s="129"/>
      <c r="M174" s="129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29"/>
      <c r="C175" s="129"/>
      <c r="D175" s="129"/>
      <c r="E175" s="130"/>
      <c r="F175" s="130"/>
      <c r="G175" s="128"/>
      <c r="H175" s="128"/>
      <c r="I175" s="65"/>
      <c r="J175" s="131"/>
      <c r="K175" s="131"/>
      <c r="L175" s="129"/>
      <c r="M175" s="129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29"/>
      <c r="C176" s="129"/>
      <c r="D176" s="129"/>
      <c r="E176" s="130"/>
      <c r="F176" s="130"/>
      <c r="G176" s="128"/>
      <c r="H176" s="128"/>
      <c r="I176" s="65"/>
      <c r="J176" s="131"/>
      <c r="K176" s="131"/>
      <c r="L176" s="129"/>
      <c r="M176" s="129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29"/>
      <c r="C177" s="129"/>
      <c r="D177" s="129"/>
      <c r="E177" s="130"/>
      <c r="F177" s="130"/>
      <c r="G177" s="128"/>
      <c r="H177" s="128"/>
      <c r="I177" s="65"/>
      <c r="J177" s="131"/>
      <c r="K177" s="131"/>
      <c r="L177" s="129"/>
      <c r="M177" s="129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29"/>
      <c r="C178" s="129"/>
      <c r="D178" s="129"/>
      <c r="E178" s="130"/>
      <c r="F178" s="130"/>
      <c r="G178" s="128"/>
      <c r="H178" s="128"/>
      <c r="I178" s="65"/>
      <c r="J178" s="131"/>
      <c r="K178" s="131"/>
      <c r="L178" s="129"/>
      <c r="M178" s="129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29"/>
      <c r="C179" s="129"/>
      <c r="D179" s="129"/>
      <c r="E179" s="130"/>
      <c r="F179" s="130"/>
      <c r="G179" s="128"/>
      <c r="H179" s="128"/>
      <c r="I179" s="65"/>
      <c r="J179" s="131"/>
      <c r="K179" s="131"/>
      <c r="L179" s="129"/>
      <c r="M179" s="129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29"/>
      <c r="C180" s="129"/>
      <c r="D180" s="129"/>
      <c r="E180" s="130"/>
      <c r="F180" s="130"/>
      <c r="G180" s="128"/>
      <c r="H180" s="128"/>
      <c r="I180" s="65"/>
      <c r="J180" s="131"/>
      <c r="K180" s="131"/>
      <c r="L180" s="129"/>
      <c r="M180" s="129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29"/>
      <c r="C181" s="129"/>
      <c r="D181" s="129"/>
      <c r="E181" s="130"/>
      <c r="F181" s="130"/>
      <c r="G181" s="128"/>
      <c r="H181" s="128"/>
      <c r="I181" s="65"/>
      <c r="J181" s="131"/>
      <c r="K181" s="131"/>
      <c r="L181" s="129"/>
      <c r="M181" s="129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29"/>
      <c r="C182" s="129"/>
      <c r="D182" s="129"/>
      <c r="E182" s="130"/>
      <c r="F182" s="130"/>
      <c r="G182" s="128"/>
      <c r="H182" s="128"/>
      <c r="I182" s="65"/>
      <c r="J182" s="131"/>
      <c r="K182" s="131"/>
      <c r="L182" s="129"/>
      <c r="M182" s="129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29"/>
      <c r="C183" s="129"/>
      <c r="D183" s="129"/>
      <c r="E183" s="130"/>
      <c r="F183" s="130"/>
      <c r="G183" s="128"/>
      <c r="H183" s="128"/>
      <c r="I183" s="65"/>
      <c r="J183" s="131"/>
      <c r="K183" s="131"/>
      <c r="L183" s="129"/>
      <c r="M183" s="129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29"/>
      <c r="C184" s="129"/>
      <c r="D184" s="129"/>
      <c r="E184" s="130"/>
      <c r="F184" s="130"/>
      <c r="G184" s="128"/>
      <c r="H184" s="128"/>
      <c r="I184" s="65"/>
      <c r="J184" s="131"/>
      <c r="K184" s="131"/>
      <c r="L184" s="129"/>
      <c r="M184" s="129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29"/>
      <c r="C185" s="129"/>
      <c r="D185" s="129"/>
      <c r="E185" s="130"/>
      <c r="F185" s="130"/>
      <c r="G185" s="128"/>
      <c r="H185" s="128"/>
      <c r="I185" s="65"/>
      <c r="J185" s="131"/>
      <c r="K185" s="131"/>
      <c r="L185" s="129"/>
      <c r="M185" s="129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29"/>
      <c r="C186" s="129"/>
      <c r="D186" s="129"/>
      <c r="E186" s="130"/>
      <c r="F186" s="130"/>
      <c r="G186" s="128"/>
      <c r="H186" s="128"/>
      <c r="I186" s="65"/>
      <c r="J186" s="131"/>
      <c r="K186" s="131"/>
      <c r="L186" s="129"/>
      <c r="M186" s="129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9" t="s">
        <v>50</v>
      </c>
      <c r="C188" s="100"/>
      <c r="D188" s="45"/>
      <c r="E188" s="45"/>
      <c r="F188" s="45"/>
      <c r="G188" s="101" t="s">
        <v>51</v>
      </c>
      <c r="H188" s="102"/>
      <c r="I188" s="45"/>
      <c r="J188" s="44" t="s">
        <v>52</v>
      </c>
      <c r="K188" s="102" t="inlineStr">
        <is>
          <t>2025.11.24 09:00~2025.11.26 16:00</t>
        </is>
      </c>
      <c r="L188" s="45"/>
      <c r="M188" s="10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03" t="s">
        <v>58</v>
      </c>
      <c r="M190" s="10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04" t="s">
        <v>67</v>
      </c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05" t="s">
        <v>55</v>
      </c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06" t="s">
        <v>68</v>
      </c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08" t="s">
        <v>22</v>
      </c>
      <c r="J198" s="108"/>
      <c r="K198" s="109" t="str">
        <f>K4</f>
        <v>2026E70-40-000006</v>
      </c>
      <c r="L198" s="109"/>
      <c r="M198" s="109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11" t="str">
        <f>C5</f>
        <v>上海真兰仪表科技股份有限公司</v>
      </c>
      <c r="D199" s="111"/>
      <c r="E199" s="111"/>
      <c r="F199" s="111"/>
      <c r="G199" s="111"/>
      <c r="H199" s="111"/>
      <c r="I199" s="108" t="s">
        <v>140</v>
      </c>
      <c r="J199" s="108"/>
      <c r="K199" s="109" t="str">
        <f>K5</f>
        <v>超声波燃气表</v>
      </c>
      <c r="L199" s="109"/>
      <c r="M199" s="109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11" t="str">
        <f>C6</f>
        <v>上海真兰仪表科技股份有限公司</v>
      </c>
      <c r="D200" s="111"/>
      <c r="E200" s="111"/>
      <c r="F200" s="111"/>
      <c r="G200" s="111"/>
      <c r="H200" s="111"/>
      <c r="I200" s="108" t="s">
        <v>135</v>
      </c>
      <c r="J200" s="108"/>
      <c r="K200" s="109" t="str">
        <f>K6</f>
        <v>UG1.6A LP Z2-NB</v>
      </c>
      <c r="L200" s="109"/>
      <c r="M200" s="109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13" t="str">
        <f>C7</f>
        <v>2582928128</v>
      </c>
      <c r="D201" s="113"/>
      <c r="E201" s="113"/>
      <c r="F201" s="113"/>
      <c r="G201" s="115" t="s">
        <v>136</v>
      </c>
      <c r="H201" s="115"/>
      <c r="I201" s="51" t="s">
        <v>137</v>
      </c>
      <c r="J201" s="55" t="s">
        <v>138</v>
      </c>
      <c r="K201" s="52" t="s">
        <v>37</v>
      </c>
      <c r="L201" s="53" t="s">
        <v>38</v>
      </c>
      <c r="M201" s="52" t="s">
        <v>167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41</v>
      </c>
      <c r="C202" s="113" t="str">
        <f>C8</f>
        <v>(100~101)kPa</v>
      </c>
      <c r="D202" s="113"/>
      <c r="E202" s="113"/>
      <c r="F202" s="113"/>
      <c r="G202" s="143" t="s">
        <v>139</v>
      </c>
      <c r="H202" s="143"/>
      <c r="I202" s="109" t="str">
        <f>I8</f>
        <v>(0.016~2.5)m³/h</v>
      </c>
      <c r="J202" s="109"/>
      <c r="K202" s="55"/>
      <c r="L202" s="102"/>
      <c r="M202" s="10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45</v>
      </c>
      <c r="C203" s="109" t="s">
        <v>46</v>
      </c>
      <c r="D203" s="109"/>
      <c r="E203" s="109"/>
      <c r="F203" s="109"/>
      <c r="G203" s="109"/>
      <c r="H203" s="109"/>
      <c r="I203" s="18" t="s">
        <v>47</v>
      </c>
      <c r="J203" s="109" t="s">
        <v>195</v>
      </c>
      <c r="K203" s="109"/>
      <c r="L203" s="44"/>
      <c r="M203" s="5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65</v>
      </c>
      <c r="C204" s="12" t="s">
        <v>142</v>
      </c>
      <c r="D204" s="144">
        <v>2816</v>
      </c>
      <c r="E204" s="144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49</v>
      </c>
      <c r="C205" s="134" t="s">
        <v>77</v>
      </c>
      <c r="D205" s="134"/>
      <c r="E205" s="48">
        <f>E12</f>
        <v>2.5</v>
      </c>
      <c r="F205" s="26" t="s">
        <v>78</v>
      </c>
      <c r="G205" s="134" t="s">
        <v>79</v>
      </c>
      <c r="H205" s="134"/>
      <c r="I205" s="48">
        <f>I12</f>
        <v>1.6E-2</v>
      </c>
      <c r="J205" s="26" t="s">
        <v>78</v>
      </c>
      <c r="K205" s="48" t="s">
        <v>95</v>
      </c>
      <c r="L205" s="48">
        <f>L12</f>
        <v>0.25</v>
      </c>
      <c r="M205" s="26" t="s">
        <v>78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23" t="s">
        <v>144</v>
      </c>
      <c r="C206" s="127" t="s">
        <v>145</v>
      </c>
      <c r="D206" s="127"/>
      <c r="E206" s="137" t="s">
        <v>146</v>
      </c>
      <c r="F206" s="138"/>
      <c r="G206" s="137" t="s">
        <v>147</v>
      </c>
      <c r="H206" s="138"/>
      <c r="I206" s="123" t="s">
        <v>148</v>
      </c>
      <c r="J206" s="137" t="s">
        <v>149</v>
      </c>
      <c r="K206" s="138"/>
      <c r="L206" s="124" t="s">
        <v>171</v>
      </c>
      <c r="M206" s="117" t="s">
        <v>168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21"/>
      <c r="C207" s="127"/>
      <c r="D207" s="127"/>
      <c r="E207" s="139"/>
      <c r="F207" s="140"/>
      <c r="G207" s="139"/>
      <c r="H207" s="140"/>
      <c r="I207" s="121"/>
      <c r="J207" s="139"/>
      <c r="K207" s="140"/>
      <c r="L207" s="125"/>
      <c r="M207" s="11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21"/>
      <c r="C208" s="135"/>
      <c r="D208" s="136"/>
      <c r="E208" s="139"/>
      <c r="F208" s="140"/>
      <c r="G208" s="139"/>
      <c r="H208" s="140"/>
      <c r="I208" s="121"/>
      <c r="J208" s="139"/>
      <c r="K208" s="140"/>
      <c r="L208" s="125"/>
      <c r="M208" s="11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22"/>
      <c r="C209" s="135"/>
      <c r="D209" s="136"/>
      <c r="E209" s="141" t="s">
        <v>151</v>
      </c>
      <c r="F209" s="134"/>
      <c r="G209" s="141" t="s">
        <v>151</v>
      </c>
      <c r="H209" s="134"/>
      <c r="I209" s="46" t="s">
        <v>152</v>
      </c>
      <c r="J209" s="141" t="s">
        <v>169</v>
      </c>
      <c r="K209" s="142"/>
      <c r="L209" s="47" t="s">
        <v>170</v>
      </c>
      <c r="M209" s="119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127" t="s">
        <v>153</v>
      </c>
      <c r="C210" s="127">
        <v>1</v>
      </c>
      <c r="D210" s="127"/>
      <c r="E210" s="133">
        <f>流体扰动!K2</f>
        <v>0</v>
      </c>
      <c r="F210" s="133"/>
      <c r="G210" s="132">
        <f>流体扰动!H2</f>
        <v>0</v>
      </c>
      <c r="H210" s="132"/>
      <c r="I210" s="49" t="e">
        <f t="shared" ref="I210:I215" si="5">(E210-G210)/G210*100</f>
        <v>#DIV/0!</v>
      </c>
      <c r="J210" s="126" t="e">
        <f>AVERAGE(I210:I211)</f>
        <v>#DIV/0!</v>
      </c>
      <c r="K210" s="126"/>
      <c r="L210" s="127" t="s">
        <v>173</v>
      </c>
      <c r="M210" s="120" t="s">
        <v>188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127"/>
      <c r="C211" s="127">
        <v>2</v>
      </c>
      <c r="D211" s="127"/>
      <c r="E211" s="133">
        <f>流体扰动!K5</f>
        <v>0</v>
      </c>
      <c r="F211" s="133"/>
      <c r="G211" s="132">
        <f>流体扰动!H5</f>
        <v>0</v>
      </c>
      <c r="H211" s="132"/>
      <c r="I211" s="49" t="e">
        <f t="shared" si="5"/>
        <v>#DIV/0!</v>
      </c>
      <c r="J211" s="126"/>
      <c r="K211" s="126"/>
      <c r="L211" s="127"/>
      <c r="M211" s="12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127" t="s">
        <v>165</v>
      </c>
      <c r="C212" s="127">
        <v>1</v>
      </c>
      <c r="D212" s="127"/>
      <c r="E212" s="133">
        <f>流体扰动!K3</f>
        <v>0</v>
      </c>
      <c r="F212" s="133"/>
      <c r="G212" s="132">
        <f>流体扰动!H3</f>
        <v>0</v>
      </c>
      <c r="H212" s="132"/>
      <c r="I212" s="49" t="e">
        <f t="shared" si="5"/>
        <v>#DIV/0!</v>
      </c>
      <c r="J212" s="126" t="e">
        <f>AVERAGE(I212:I213)</f>
        <v>#DIV/0!</v>
      </c>
      <c r="K212" s="126"/>
      <c r="L212" s="127" t="s">
        <v>172</v>
      </c>
      <c r="M212" s="12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127"/>
      <c r="C213" s="127">
        <v>2</v>
      </c>
      <c r="D213" s="127"/>
      <c r="E213" s="133">
        <f>流体扰动!K6</f>
        <v>0</v>
      </c>
      <c r="F213" s="133"/>
      <c r="G213" s="132">
        <f>流体扰动!H6</f>
        <v>0</v>
      </c>
      <c r="H213" s="132"/>
      <c r="I213" s="49" t="e">
        <f t="shared" si="5"/>
        <v>#DIV/0!</v>
      </c>
      <c r="J213" s="126"/>
      <c r="K213" s="126"/>
      <c r="L213" s="127"/>
      <c r="M213" s="12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127" t="s">
        <v>166</v>
      </c>
      <c r="C214" s="127">
        <v>1</v>
      </c>
      <c r="D214" s="127"/>
      <c r="E214" s="133">
        <f>流体扰动!K4</f>
        <v>0</v>
      </c>
      <c r="F214" s="133"/>
      <c r="G214" s="132">
        <f>流体扰动!H4</f>
        <v>0</v>
      </c>
      <c r="H214" s="132"/>
      <c r="I214" s="49" t="e">
        <f t="shared" si="5"/>
        <v>#DIV/0!</v>
      </c>
      <c r="J214" s="126" t="e">
        <f>AVERAGE(I214:I215)</f>
        <v>#DIV/0!</v>
      </c>
      <c r="K214" s="126"/>
      <c r="L214" s="127" t="s">
        <v>172</v>
      </c>
      <c r="M214" s="12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127"/>
      <c r="C215" s="127">
        <v>2</v>
      </c>
      <c r="D215" s="127"/>
      <c r="E215" s="133">
        <f>流体扰动!K7</f>
        <v>0</v>
      </c>
      <c r="F215" s="133"/>
      <c r="G215" s="132">
        <f>流体扰动!H7</f>
        <v>0</v>
      </c>
      <c r="H215" s="132"/>
      <c r="I215" s="49" t="e">
        <f t="shared" si="5"/>
        <v>#DIV/0!</v>
      </c>
      <c r="J215" s="126"/>
      <c r="K215" s="126"/>
      <c r="L215" s="127"/>
      <c r="M215" s="12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127" t="s">
        <v>153</v>
      </c>
      <c r="C216" s="127">
        <v>1</v>
      </c>
      <c r="D216" s="127"/>
      <c r="E216" s="133">
        <f>流体扰动!K9</f>
        <v>0</v>
      </c>
      <c r="F216" s="133"/>
      <c r="G216" s="132">
        <f>流体扰动!H9</f>
        <v>0</v>
      </c>
      <c r="H216" s="132"/>
      <c r="I216" s="49" t="e">
        <f t="shared" ref="I216:I221" si="6">(E216-G216)/G216*100</f>
        <v>#DIV/0!</v>
      </c>
      <c r="J216" s="126" t="e">
        <f>AVERAGE(I216:I217)</f>
        <v>#DIV/0!</v>
      </c>
      <c r="K216" s="126"/>
      <c r="L216" s="126" t="e">
        <f>J216-J210</f>
        <v>#DIV/0!</v>
      </c>
      <c r="M216" s="123" t="s">
        <v>189</v>
      </c>
    </row>
    <row r="217" spans="1:31" ht="20.100000000000001" customHeight="1" x14ac:dyDescent="0.15">
      <c r="B217" s="127"/>
      <c r="C217" s="127">
        <v>2</v>
      </c>
      <c r="D217" s="127"/>
      <c r="E217" s="133">
        <f>流体扰动!K12</f>
        <v>0</v>
      </c>
      <c r="F217" s="133"/>
      <c r="G217" s="132">
        <f>流体扰动!H12</f>
        <v>0</v>
      </c>
      <c r="H217" s="132"/>
      <c r="I217" s="49" t="e">
        <f t="shared" si="6"/>
        <v>#DIV/0!</v>
      </c>
      <c r="J217" s="126"/>
      <c r="K217" s="126"/>
      <c r="L217" s="127"/>
      <c r="M217" s="121"/>
    </row>
    <row r="218" spans="1:31" ht="20.100000000000001" customHeight="1" x14ac:dyDescent="0.15">
      <c r="B218" s="127" t="s">
        <v>165</v>
      </c>
      <c r="C218" s="127">
        <v>1</v>
      </c>
      <c r="D218" s="127"/>
      <c r="E218" s="133">
        <f>流体扰动!K10</f>
        <v>0</v>
      </c>
      <c r="F218" s="133"/>
      <c r="G218" s="132">
        <f>流体扰动!H10</f>
        <v>0</v>
      </c>
      <c r="H218" s="132"/>
      <c r="I218" s="49" t="e">
        <f t="shared" si="6"/>
        <v>#DIV/0!</v>
      </c>
      <c r="J218" s="126" t="e">
        <f>AVERAGE(I218:I219)</f>
        <v>#DIV/0!</v>
      </c>
      <c r="K218" s="126"/>
      <c r="L218" s="126" t="e">
        <f>J218-J212</f>
        <v>#DIV/0!</v>
      </c>
      <c r="M218" s="121"/>
    </row>
    <row r="219" spans="1:31" ht="20.100000000000001" customHeight="1" x14ac:dyDescent="0.15">
      <c r="B219" s="127"/>
      <c r="C219" s="127">
        <v>2</v>
      </c>
      <c r="D219" s="127"/>
      <c r="E219" s="133">
        <f>流体扰动!K13</f>
        <v>0</v>
      </c>
      <c r="F219" s="133"/>
      <c r="G219" s="132">
        <f>流体扰动!H13</f>
        <v>0</v>
      </c>
      <c r="H219" s="132"/>
      <c r="I219" s="49" t="e">
        <f t="shared" si="6"/>
        <v>#DIV/0!</v>
      </c>
      <c r="J219" s="126"/>
      <c r="K219" s="126"/>
      <c r="L219" s="127"/>
      <c r="M219" s="121"/>
    </row>
    <row r="220" spans="1:31" ht="20.100000000000001" customHeight="1" x14ac:dyDescent="0.15">
      <c r="B220" s="127" t="s">
        <v>166</v>
      </c>
      <c r="C220" s="127">
        <v>1</v>
      </c>
      <c r="D220" s="127"/>
      <c r="E220" s="133">
        <f>流体扰动!K11</f>
        <v>0</v>
      </c>
      <c r="F220" s="133"/>
      <c r="G220" s="132">
        <f>流体扰动!H11</f>
        <v>0</v>
      </c>
      <c r="H220" s="132"/>
      <c r="I220" s="49" t="e">
        <f t="shared" si="6"/>
        <v>#DIV/0!</v>
      </c>
      <c r="J220" s="126" t="e">
        <f>AVERAGE(I220:I221)</f>
        <v>#DIV/0!</v>
      </c>
      <c r="K220" s="126"/>
      <c r="L220" s="126" t="e">
        <f>J220-J214</f>
        <v>#DIV/0!</v>
      </c>
      <c r="M220" s="121"/>
    </row>
    <row r="221" spans="1:31" ht="19.5" customHeight="1" x14ac:dyDescent="0.15">
      <c r="B221" s="127"/>
      <c r="C221" s="127">
        <v>2</v>
      </c>
      <c r="D221" s="127"/>
      <c r="E221" s="133">
        <f>流体扰动!K14</f>
        <v>0</v>
      </c>
      <c r="F221" s="133"/>
      <c r="G221" s="132">
        <f>流体扰动!H14</f>
        <v>0</v>
      </c>
      <c r="H221" s="132"/>
      <c r="I221" s="49" t="e">
        <f t="shared" si="6"/>
        <v>#DIV/0!</v>
      </c>
      <c r="J221" s="126"/>
      <c r="K221" s="126"/>
      <c r="L221" s="127"/>
      <c r="M221" s="122"/>
    </row>
    <row r="222" spans="1:31" ht="20.100000000000001" customHeight="1" x14ac:dyDescent="0.15">
      <c r="B222" s="129"/>
      <c r="C222" s="129"/>
      <c r="D222" s="129"/>
      <c r="E222" s="130"/>
      <c r="F222" s="130"/>
      <c r="G222" s="128"/>
      <c r="H222" s="128"/>
      <c r="I222" s="65"/>
      <c r="J222" s="131"/>
      <c r="K222" s="131"/>
      <c r="L222" s="129"/>
      <c r="M222" s="129"/>
    </row>
    <row r="223" spans="1:31" ht="20.100000000000001" customHeight="1" x14ac:dyDescent="0.15">
      <c r="B223" s="129"/>
      <c r="C223" s="129"/>
      <c r="D223" s="129"/>
      <c r="E223" s="130"/>
      <c r="F223" s="130"/>
      <c r="G223" s="128"/>
      <c r="H223" s="128"/>
      <c r="I223" s="65"/>
      <c r="J223" s="131"/>
      <c r="K223" s="131"/>
      <c r="L223" s="129"/>
      <c r="M223" s="129"/>
    </row>
    <row r="224" spans="1:31" ht="20.100000000000001" customHeight="1" x14ac:dyDescent="0.15">
      <c r="B224" s="129"/>
      <c r="C224" s="129"/>
      <c r="D224" s="129"/>
      <c r="E224" s="130"/>
      <c r="F224" s="130"/>
      <c r="G224" s="128"/>
      <c r="H224" s="128"/>
      <c r="I224" s="65"/>
      <c r="J224" s="131"/>
      <c r="K224" s="131"/>
      <c r="L224" s="129"/>
      <c r="M224" s="129"/>
    </row>
    <row r="225" spans="2:13" ht="20.100000000000001" customHeight="1" x14ac:dyDescent="0.15">
      <c r="B225" s="129"/>
      <c r="C225" s="129"/>
      <c r="D225" s="129"/>
      <c r="E225" s="130"/>
      <c r="F225" s="130"/>
      <c r="G225" s="128"/>
      <c r="H225" s="128"/>
      <c r="I225" s="65"/>
      <c r="J225" s="131"/>
      <c r="K225" s="131"/>
      <c r="L225" s="129"/>
      <c r="M225" s="129"/>
    </row>
    <row r="226" spans="2:13" ht="20.100000000000001" customHeight="1" x14ac:dyDescent="0.15">
      <c r="B226" s="129"/>
      <c r="C226" s="129"/>
      <c r="D226" s="129"/>
      <c r="E226" s="130"/>
      <c r="F226" s="130"/>
      <c r="G226" s="128"/>
      <c r="H226" s="128"/>
      <c r="I226" s="65"/>
      <c r="J226" s="131"/>
      <c r="K226" s="131"/>
      <c r="L226" s="129"/>
      <c r="M226" s="129"/>
    </row>
    <row r="227" spans="2:13" ht="20.100000000000001" customHeight="1" x14ac:dyDescent="0.15">
      <c r="B227" s="129"/>
      <c r="C227" s="129"/>
      <c r="D227" s="129"/>
      <c r="E227" s="130"/>
      <c r="F227" s="130"/>
      <c r="G227" s="128"/>
      <c r="H227" s="128"/>
      <c r="I227" s="65"/>
      <c r="J227" s="131"/>
      <c r="K227" s="131"/>
      <c r="L227" s="129"/>
      <c r="M227" s="129"/>
    </row>
    <row r="228" spans="2:13" ht="20.100000000000001" customHeight="1" x14ac:dyDescent="0.15">
      <c r="B228" s="129"/>
      <c r="C228" s="129"/>
      <c r="D228" s="129"/>
      <c r="E228" s="130"/>
      <c r="F228" s="130"/>
      <c r="G228" s="128"/>
      <c r="H228" s="128"/>
      <c r="I228" s="65"/>
      <c r="J228" s="131"/>
      <c r="K228" s="131"/>
      <c r="L228" s="129"/>
      <c r="M228" s="129"/>
    </row>
    <row r="229" spans="2:13" ht="20.100000000000001" customHeight="1" x14ac:dyDescent="0.15">
      <c r="B229" s="129"/>
      <c r="C229" s="50"/>
      <c r="D229" s="50"/>
      <c r="E229" s="68"/>
      <c r="F229" s="68"/>
      <c r="G229" s="69"/>
      <c r="H229" s="69"/>
      <c r="I229" s="65"/>
      <c r="J229" s="131"/>
      <c r="K229" s="131"/>
      <c r="L229" s="129"/>
      <c r="M229" s="129"/>
    </row>
    <row r="230" spans="2:13" ht="20.100000000000001" customHeight="1" x14ac:dyDescent="0.15">
      <c r="B230" s="129"/>
      <c r="C230" s="129"/>
      <c r="D230" s="129"/>
      <c r="E230" s="130"/>
      <c r="F230" s="130"/>
      <c r="G230" s="128"/>
      <c r="H230" s="128"/>
      <c r="I230" s="65"/>
      <c r="J230" s="131"/>
      <c r="K230" s="131"/>
      <c r="L230" s="129"/>
      <c r="M230" s="129"/>
    </row>
    <row r="231" spans="2:13" ht="20.100000000000001" customHeight="1" x14ac:dyDescent="0.15">
      <c r="B231" s="50"/>
      <c r="C231" s="50"/>
      <c r="D231" s="50"/>
      <c r="E231" s="68"/>
      <c r="F231" s="68"/>
      <c r="G231" s="69"/>
      <c r="H231" s="69"/>
      <c r="I231" s="65"/>
      <c r="J231" s="65"/>
      <c r="K231" s="65"/>
      <c r="L231" s="129"/>
      <c r="M231" s="129"/>
    </row>
    <row r="232" spans="2:13" ht="20.100000000000001" customHeight="1" x14ac:dyDescent="0.15">
      <c r="B232" s="50"/>
      <c r="C232" s="129"/>
      <c r="D232" s="129"/>
      <c r="E232" s="130"/>
      <c r="F232" s="130"/>
      <c r="G232" s="128"/>
      <c r="H232" s="128"/>
      <c r="I232" s="65"/>
      <c r="J232" s="131"/>
      <c r="K232" s="131"/>
      <c r="L232" s="129"/>
      <c r="M232" s="129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9" t="s">
        <v>50</v>
      </c>
      <c r="C234" s="100"/>
      <c r="D234" s="45"/>
      <c r="E234" s="45"/>
      <c r="F234" s="45"/>
      <c r="G234" s="101" t="s">
        <v>51</v>
      </c>
      <c r="H234" s="102"/>
      <c r="I234" s="45"/>
      <c r="J234" s="44" t="s">
        <v>52</v>
      </c>
      <c r="K234" s="102" t="inlineStr">
        <is>
          <t>2025.11.28 09:00~2025.11.28 16:00</t>
        </is>
      </c>
      <c r="L234" s="45"/>
      <c r="M234" s="102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03" t="s">
        <v>58</v>
      </c>
      <c r="M236" s="103"/>
    </row>
    <row r="240" spans="2:13" x14ac:dyDescent="0.15">
      <c r="B240" s="104" t="s">
        <v>67</v>
      </c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</row>
    <row r="241" spans="2:13" ht="20.25" x14ac:dyDescent="0.15">
      <c r="B241" s="105" t="s">
        <v>55</v>
      </c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</row>
    <row r="242" spans="2:13" ht="20.25" x14ac:dyDescent="0.15">
      <c r="B242" s="106" t="s">
        <v>68</v>
      </c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08" t="s">
        <v>22</v>
      </c>
      <c r="J243" s="108"/>
      <c r="K243" s="109" t="str">
        <f>K4</f>
        <v>2026E70-40-000006</v>
      </c>
      <c r="L243" s="109"/>
      <c r="M243" s="109"/>
    </row>
    <row r="244" spans="2:13" ht="20.100000000000001" customHeight="1" x14ac:dyDescent="0.2">
      <c r="B244" s="12" t="s">
        <v>23</v>
      </c>
      <c r="C244" s="110" t="str">
        <f>C5</f>
        <v>上海真兰仪表科技股份有限公司</v>
      </c>
      <c r="D244" s="111"/>
      <c r="E244" s="111"/>
      <c r="F244" s="111"/>
      <c r="G244" s="111"/>
      <c r="H244" s="111"/>
      <c r="I244" s="108" t="s">
        <v>24</v>
      </c>
      <c r="J244" s="108"/>
      <c r="K244" s="112" t="str">
        <f>K5</f>
        <v>超声波燃气表</v>
      </c>
      <c r="L244" s="109"/>
      <c r="M244" s="109"/>
    </row>
    <row r="245" spans="2:13" ht="20.100000000000001" customHeight="1" x14ac:dyDescent="0.2">
      <c r="B245" s="12" t="s">
        <v>25</v>
      </c>
      <c r="C245" s="110" t="str">
        <f>C6</f>
        <v>上海真兰仪表科技股份有限公司</v>
      </c>
      <c r="D245" s="111"/>
      <c r="E245" s="111"/>
      <c r="F245" s="111"/>
      <c r="G245" s="111"/>
      <c r="H245" s="111"/>
      <c r="I245" s="108" t="s">
        <v>26</v>
      </c>
      <c r="J245" s="108"/>
      <c r="K245" s="109" t="str">
        <f>K6</f>
        <v>UG1.6A LP Z2-NB</v>
      </c>
      <c r="L245" s="109"/>
      <c r="M245" s="109"/>
    </row>
    <row r="246" spans="2:13" ht="20.100000000000001" customHeight="1" x14ac:dyDescent="0.2">
      <c r="B246" s="13" t="s">
        <v>35</v>
      </c>
      <c r="C246" s="113" t="str">
        <f>C7</f>
        <v>2582928128</v>
      </c>
      <c r="D246" s="113"/>
      <c r="E246" s="113"/>
      <c r="F246" s="113"/>
      <c r="G246" s="114" t="s">
        <v>69</v>
      </c>
      <c r="H246" s="115"/>
      <c r="I246" s="10" t="s">
        <v>36</v>
      </c>
      <c r="J246" s="14" t="s">
        <v>40</v>
      </c>
      <c r="K246" s="63" t="s">
        <v>196</v>
      </c>
      <c r="L246" s="64" t="s">
        <v>38</v>
      </c>
      <c r="M246" s="63" t="s">
        <v>197</v>
      </c>
    </row>
    <row r="247" spans="2:13" ht="20.100000000000001" customHeight="1" x14ac:dyDescent="0.2">
      <c r="B247" s="18" t="s">
        <v>41</v>
      </c>
      <c r="C247" s="116" t="str">
        <f>C8</f>
        <v>(100~101)kPa</v>
      </c>
      <c r="D247" s="116"/>
      <c r="E247" s="116"/>
      <c r="F247" s="116"/>
      <c r="G247" s="173" t="s">
        <v>43</v>
      </c>
      <c r="H247" s="143"/>
      <c r="I247" s="109" t="str">
        <f>I8</f>
        <v>(0.016~2.5)m³/h</v>
      </c>
      <c r="J247" s="109"/>
      <c r="K247" s="14" t="s">
        <v>44</v>
      </c>
      <c r="L247" s="109" t="str">
        <f>IF(耐久性复测!C2&gt;5,ROUND(MAX(耐久性复测!O2,耐久性复测!O7,耐久性复测!O12)*0.75,0),MAX(耐久性复测!O2,耐久性复测!O7,耐久性复测!O12))&amp;"Pa"</f>
        <v>37Pa</v>
      </c>
      <c r="M247" s="102"/>
    </row>
    <row r="248" spans="2:13" ht="20.100000000000001" customHeight="1" x14ac:dyDescent="0.2">
      <c r="B248" s="18" t="s">
        <v>45</v>
      </c>
      <c r="C248" s="109" t="s">
        <v>46</v>
      </c>
      <c r="D248" s="109"/>
      <c r="E248" s="109"/>
      <c r="F248" s="109"/>
      <c r="G248" s="109"/>
      <c r="H248" s="109"/>
      <c r="I248" s="18" t="s">
        <v>47</v>
      </c>
      <c r="J248" s="109" t="s">
        <v>195</v>
      </c>
      <c r="K248" s="109"/>
      <c r="L248" s="86" t="s">
        <v>175</v>
      </c>
      <c r="M248" s="87" t="s">
        <v>176</v>
      </c>
    </row>
    <row r="249" spans="2:13" ht="20.100000000000001" customHeight="1" x14ac:dyDescent="0.2">
      <c r="B249" s="12" t="s">
        <v>65</v>
      </c>
      <c r="C249" s="171" t="s">
        <v>66</v>
      </c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</row>
    <row r="250" spans="2:13" ht="20.100000000000001" customHeight="1" x14ac:dyDescent="0.15">
      <c r="B250" s="11" t="s">
        <v>49</v>
      </c>
      <c r="C250" s="129" t="s">
        <v>77</v>
      </c>
      <c r="D250" s="129"/>
      <c r="E250" s="71">
        <f>E12</f>
        <v>2.5</v>
      </c>
      <c r="F250" s="39" t="s">
        <v>78</v>
      </c>
      <c r="G250" s="129" t="s">
        <v>79</v>
      </c>
      <c r="H250" s="129"/>
      <c r="I250" s="71">
        <f>I12</f>
        <v>1.6E-2</v>
      </c>
      <c r="J250" s="39" t="s">
        <v>178</v>
      </c>
      <c r="K250" s="71" t="s">
        <v>95</v>
      </c>
      <c r="L250" s="71">
        <f>L12</f>
        <v>0.25</v>
      </c>
      <c r="M250" s="39" t="s">
        <v>78</v>
      </c>
    </row>
    <row r="251" spans="2:13" ht="20.100000000000001" customHeight="1" x14ac:dyDescent="0.15">
      <c r="B251" s="148" t="s">
        <v>177</v>
      </c>
      <c r="C251" s="148"/>
      <c r="D251" s="148"/>
      <c r="E251" s="127" t="s">
        <v>179</v>
      </c>
      <c r="F251" s="127"/>
      <c r="G251" s="127"/>
      <c r="H251" s="127"/>
      <c r="I251" s="127" t="s">
        <v>180</v>
      </c>
      <c r="J251" s="127"/>
      <c r="K251" s="127" t="s">
        <v>181</v>
      </c>
      <c r="L251" s="127"/>
      <c r="M251" s="70" t="s">
        <v>182</v>
      </c>
    </row>
    <row r="252" spans="2:13" ht="20.100000000000001" customHeight="1" x14ac:dyDescent="0.15">
      <c r="B252" s="148"/>
      <c r="C252" s="148"/>
      <c r="D252" s="148"/>
      <c r="E252" s="127">
        <f>E250</f>
        <v>2.5</v>
      </c>
      <c r="F252" s="127"/>
      <c r="G252" s="127"/>
      <c r="H252" s="127"/>
      <c r="I252" s="127">
        <v>2000</v>
      </c>
      <c r="J252" s="127"/>
      <c r="K252" s="127">
        <v>507.62819999999999</v>
      </c>
      <c r="L252" s="127"/>
      <c r="M252" s="70">
        <v>5550.2401</v>
      </c>
    </row>
    <row r="253" spans="2:13" ht="20.100000000000001" customHeight="1" x14ac:dyDescent="0.15">
      <c r="B253" s="88" t="s">
        <v>183</v>
      </c>
      <c r="C253" s="76"/>
      <c r="D253" s="76"/>
      <c r="E253" s="71"/>
      <c r="F253" s="39"/>
      <c r="G253" s="71"/>
      <c r="H253" s="71"/>
      <c r="I253" s="71"/>
      <c r="J253" s="39"/>
      <c r="K253" s="71"/>
      <c r="L253" s="76"/>
      <c r="M253" s="26"/>
    </row>
    <row r="254" spans="2:13" ht="20.100000000000001" customHeight="1" x14ac:dyDescent="0.15">
      <c r="B254" s="123" t="s">
        <v>27</v>
      </c>
      <c r="C254" s="127" t="s">
        <v>28</v>
      </c>
      <c r="D254" s="127"/>
      <c r="E254" s="137" t="s">
        <v>29</v>
      </c>
      <c r="F254" s="138"/>
      <c r="G254" s="137" t="s">
        <v>30</v>
      </c>
      <c r="H254" s="138"/>
      <c r="I254" s="123" t="s">
        <v>31</v>
      </c>
      <c r="J254" s="137" t="s">
        <v>32</v>
      </c>
      <c r="K254" s="138"/>
      <c r="L254" s="158" t="s">
        <v>174</v>
      </c>
      <c r="M254" s="159"/>
    </row>
    <row r="255" spans="2:13" ht="20.100000000000001" customHeight="1" x14ac:dyDescent="0.15">
      <c r="B255" s="121"/>
      <c r="C255" s="127"/>
      <c r="D255" s="127"/>
      <c r="E255" s="139"/>
      <c r="F255" s="140"/>
      <c r="G255" s="139"/>
      <c r="H255" s="140"/>
      <c r="I255" s="121"/>
      <c r="J255" s="139"/>
      <c r="K255" s="140"/>
      <c r="L255" s="181"/>
      <c r="M255" s="182"/>
    </row>
    <row r="256" spans="2:13" ht="20.100000000000001" customHeight="1" x14ac:dyDescent="0.15">
      <c r="B256" s="121"/>
      <c r="C256" s="135"/>
      <c r="D256" s="136"/>
      <c r="E256" s="139"/>
      <c r="F256" s="140"/>
      <c r="G256" s="139"/>
      <c r="H256" s="140"/>
      <c r="I256" s="121"/>
      <c r="J256" s="139"/>
      <c r="K256" s="140"/>
      <c r="L256" s="181"/>
      <c r="M256" s="182"/>
    </row>
    <row r="257" spans="2:13" ht="20.100000000000001" customHeight="1" x14ac:dyDescent="0.15">
      <c r="B257" s="122"/>
      <c r="C257" s="135"/>
      <c r="D257" s="136"/>
      <c r="E257" s="141" t="s">
        <v>57</v>
      </c>
      <c r="F257" s="134"/>
      <c r="G257" s="141" t="s">
        <v>57</v>
      </c>
      <c r="H257" s="134"/>
      <c r="I257" s="62" t="s">
        <v>56</v>
      </c>
      <c r="J257" s="141" t="s">
        <v>56</v>
      </c>
      <c r="K257" s="142"/>
      <c r="L257" s="160"/>
      <c r="M257" s="161"/>
    </row>
    <row r="258" spans="2:13" ht="20.100000000000001" customHeight="1" x14ac:dyDescent="0.15">
      <c r="B258" s="127" t="s">
        <v>59</v>
      </c>
      <c r="C258" s="151">
        <v>1</v>
      </c>
      <c r="D258" s="145"/>
      <c r="E258" s="149">
        <f>耐久性复测!K2</f>
        <v>50</v>
      </c>
      <c r="F258" s="149"/>
      <c r="G258" s="150">
        <f>耐久性复测!H2</f>
        <v>50.084470000000003</v>
      </c>
      <c r="H258" s="150"/>
      <c r="I258" s="5">
        <f>(E258-G258)/G258*100</f>
        <v>-0.16865507411779171</v>
      </c>
      <c r="J258" s="93">
        <f>AVERAGE(I258:I260)</f>
        <v>-3.3022049737879068E-2</v>
      </c>
      <c r="K258" s="94"/>
      <c r="L258" s="91">
        <f>ABS((J258-J17)/100)</f>
        <v>1.7938824667249531E-3</v>
      </c>
      <c r="M258" s="91"/>
    </row>
    <row r="259" spans="2:13" ht="20.100000000000001" customHeight="1" x14ac:dyDescent="0.15">
      <c r="B259" s="127"/>
      <c r="C259" s="151">
        <v>2</v>
      </c>
      <c r="D259" s="145"/>
      <c r="E259" s="149">
        <f>耐久性复测!K7</f>
        <v>50</v>
      </c>
      <c r="F259" s="149"/>
      <c r="G259" s="150">
        <f>耐久性复测!H7</f>
        <v>49.990290000000002</v>
      </c>
      <c r="H259" s="150"/>
      <c r="I259" s="5">
        <f t="shared" ref="I259:I276" si="7">(E259-G259)/G259*100</f>
        <v>1.9423772096537811E-2</v>
      </c>
      <c r="J259" s="97"/>
      <c r="K259" s="98"/>
      <c r="L259" s="91"/>
      <c r="M259" s="91"/>
    </row>
    <row r="260" spans="2:13" ht="20.100000000000001" customHeight="1" x14ac:dyDescent="0.15">
      <c r="B260" s="127"/>
      <c r="C260" s="151">
        <v>3</v>
      </c>
      <c r="D260" s="145"/>
      <c r="E260" s="149">
        <f>耐久性复测!K12</f>
        <v>50</v>
      </c>
      <c r="F260" s="149"/>
      <c r="G260" s="150">
        <f>耐久性复测!H12</f>
        <v>49.974930000000001</v>
      </c>
      <c r="H260" s="150"/>
      <c r="I260" s="5">
        <f t="shared" si="7"/>
        <v>5.01651528076167E-2</v>
      </c>
      <c r="J260" s="95"/>
      <c r="K260" s="96"/>
      <c r="L260" s="91"/>
      <c r="M260" s="91"/>
    </row>
    <row r="261" spans="2:13" ht="20.100000000000001" customHeight="1" x14ac:dyDescent="0.15">
      <c r="B261" s="119" t="s">
        <v>60</v>
      </c>
      <c r="C261" s="151">
        <v>1</v>
      </c>
      <c r="D261" s="145"/>
      <c r="E261" s="149">
        <f>耐久性复测!K3</f>
        <v>30</v>
      </c>
      <c r="F261" s="149"/>
      <c r="G261" s="150">
        <f>耐久性复测!H3</f>
        <v>30.0228</v>
      </c>
      <c r="H261" s="150"/>
      <c r="I261" s="5">
        <f t="shared" si="7"/>
        <v>-7.5942283864263674E-2</v>
      </c>
      <c r="J261" s="93">
        <f>AVERAGE(I261:I263)</f>
        <v>-5.8010388340236023E-2</v>
      </c>
      <c r="K261" s="94"/>
      <c r="L261" s="91">
        <f>(J261-J23)/100</f>
        <v>1.9722221060336853E-4</v>
      </c>
      <c r="M261" s="91"/>
    </row>
    <row r="262" spans="2:13" ht="20.100000000000001" customHeight="1" x14ac:dyDescent="0.15">
      <c r="B262" s="127"/>
      <c r="C262" s="151">
        <v>2</v>
      </c>
      <c r="D262" s="145"/>
      <c r="E262" s="149">
        <f>耐久性复测!K8</f>
        <v>30</v>
      </c>
      <c r="F262" s="149"/>
      <c r="G262" s="150">
        <f>耐久性复测!H8</f>
        <v>30.031569999999999</v>
      </c>
      <c r="H262" s="150"/>
      <c r="I262" s="5">
        <f t="shared" si="7"/>
        <v>-0.10512270920234455</v>
      </c>
      <c r="J262" s="97"/>
      <c r="K262" s="98"/>
      <c r="L262" s="91"/>
      <c r="M262" s="91"/>
    </row>
    <row r="263" spans="2:13" ht="20.100000000000001" customHeight="1" x14ac:dyDescent="0.15">
      <c r="B263" s="127"/>
      <c r="C263" s="151">
        <v>3</v>
      </c>
      <c r="D263" s="145"/>
      <c r="E263" s="149">
        <f>耐久性复测!K13</f>
        <v>30</v>
      </c>
      <c r="F263" s="149"/>
      <c r="G263" s="150">
        <f>耐久性复测!H13</f>
        <v>29.997890000000002</v>
      </c>
      <c r="H263" s="150"/>
      <c r="I263" s="5">
        <f t="shared" si="7"/>
        <v>7.0338280459001611E-3</v>
      </c>
      <c r="J263" s="95"/>
      <c r="K263" s="96"/>
      <c r="L263" s="91"/>
      <c r="M263" s="91"/>
    </row>
    <row r="264" spans="2:13" ht="20.100000000000001" customHeight="1" x14ac:dyDescent="0.15">
      <c r="B264" s="119" t="s">
        <v>61</v>
      </c>
      <c r="C264" s="151">
        <v>1</v>
      </c>
      <c r="D264" s="145"/>
      <c r="E264" s="149">
        <f>耐久性复测!K4</f>
        <v>20</v>
      </c>
      <c r="F264" s="149"/>
      <c r="G264" s="150">
        <f>耐久性复测!H4</f>
        <v>20.017109999999999</v>
      </c>
      <c r="H264" s="150"/>
      <c r="I264" s="5">
        <f t="shared" si="7"/>
        <v>-8.5476874533830544E-2</v>
      </c>
      <c r="J264" s="93">
        <f>AVERAGE(I264:I266)</f>
        <v>4.3017726956628873E-2</v>
      </c>
      <c r="K264" s="94"/>
      <c r="L264" s="91">
        <f>(J264-J29)/100</f>
        <v>9.7595404515688476E-4</v>
      </c>
      <c r="M264" s="91"/>
    </row>
    <row r="265" spans="2:13" ht="20.100000000000001" customHeight="1" x14ac:dyDescent="0.15">
      <c r="B265" s="127"/>
      <c r="C265" s="151">
        <v>2</v>
      </c>
      <c r="D265" s="145"/>
      <c r="E265" s="149">
        <f>耐久性复测!K9</f>
        <v>20</v>
      </c>
      <c r="F265" s="149"/>
      <c r="G265" s="150">
        <f>耐久性复测!H9</f>
        <v>19.979179999999999</v>
      </c>
      <c r="H265" s="150"/>
      <c r="I265" s="5">
        <f t="shared" si="7"/>
        <v>0.10420848102875345</v>
      </c>
      <c r="J265" s="97"/>
      <c r="K265" s="98"/>
      <c r="L265" s="91"/>
      <c r="M265" s="91"/>
    </row>
    <row r="266" spans="2:13" ht="20.100000000000001" customHeight="1" x14ac:dyDescent="0.15">
      <c r="B266" s="127"/>
      <c r="C266" s="151">
        <v>3</v>
      </c>
      <c r="D266" s="145"/>
      <c r="E266" s="149">
        <f>耐久性复测!K14</f>
        <v>20</v>
      </c>
      <c r="F266" s="149"/>
      <c r="G266" s="150">
        <f>耐久性复测!H14</f>
        <v>19.977959999999999</v>
      </c>
      <c r="H266" s="150"/>
      <c r="I266" s="5">
        <f t="shared" si="7"/>
        <v>0.11032157437496372</v>
      </c>
      <c r="J266" s="95"/>
      <c r="K266" s="96"/>
      <c r="L266" s="91"/>
      <c r="M266" s="91"/>
    </row>
    <row r="267" spans="2:13" ht="20.100000000000001" customHeight="1" x14ac:dyDescent="0.15">
      <c r="B267" s="119" t="s">
        <v>62</v>
      </c>
      <c r="C267" s="151">
        <v>1</v>
      </c>
      <c r="D267" s="145"/>
      <c r="E267" s="149">
        <f>耐久性复测!K5</f>
        <v>20</v>
      </c>
      <c r="F267" s="149"/>
      <c r="G267" s="150">
        <f>耐久性复测!H5</f>
        <v>20.016960000000001</v>
      </c>
      <c r="H267" s="150"/>
      <c r="I267" s="5">
        <f t="shared" si="7"/>
        <v>-8.4728150528356819E-2</v>
      </c>
      <c r="J267" s="93">
        <f>AVERAGE(I267:I269)</f>
        <v>5.325823013062795E-2</v>
      </c>
      <c r="K267" s="94"/>
      <c r="L267" s="91">
        <f>(J267-J35)/100</f>
        <v>5.1976307818263681E-4</v>
      </c>
      <c r="M267" s="91"/>
    </row>
    <row r="268" spans="2:13" ht="20.100000000000001" customHeight="1" x14ac:dyDescent="0.15">
      <c r="B268" s="127"/>
      <c r="C268" s="151">
        <v>2</v>
      </c>
      <c r="D268" s="145"/>
      <c r="E268" s="149">
        <f>耐久性复测!K10</f>
        <v>20</v>
      </c>
      <c r="F268" s="149"/>
      <c r="G268" s="150">
        <f>耐久性复测!H10</f>
        <v>19.972650000000002</v>
      </c>
      <c r="H268" s="150"/>
      <c r="I268" s="5">
        <f t="shared" si="7"/>
        <v>0.13693726170537426</v>
      </c>
      <c r="J268" s="97"/>
      <c r="K268" s="98"/>
      <c r="L268" s="91"/>
      <c r="M268" s="91"/>
    </row>
    <row r="269" spans="2:13" ht="20.100000000000001" customHeight="1" x14ac:dyDescent="0.15">
      <c r="B269" s="127"/>
      <c r="C269" s="151">
        <v>3</v>
      </c>
      <c r="D269" s="145"/>
      <c r="E269" s="149">
        <f>耐久性复测!K15</f>
        <v>20</v>
      </c>
      <c r="F269" s="149"/>
      <c r="G269" s="150">
        <f>耐久性复测!H15</f>
        <v>19.97851</v>
      </c>
      <c r="H269" s="150"/>
      <c r="I269" s="5">
        <f t="shared" si="7"/>
        <v>0.10756557921486641</v>
      </c>
      <c r="J269" s="95"/>
      <c r="K269" s="96"/>
      <c r="L269" s="91"/>
      <c r="M269" s="91"/>
    </row>
    <row r="270" spans="2:13" ht="20.100000000000001" customHeight="1" x14ac:dyDescent="0.15">
      <c r="B270" s="119" t="s">
        <v>63</v>
      </c>
      <c r="C270" s="151">
        <v>1</v>
      </c>
      <c r="D270" s="145"/>
      <c r="E270" s="149">
        <f>耐久性复测!K6</f>
        <v>20</v>
      </c>
      <c r="F270" s="149"/>
      <c r="G270" s="150">
        <f>耐久性复测!H6</f>
        <v>20.013999999999999</v>
      </c>
      <c r="H270" s="150"/>
      <c r="I270" s="5">
        <f t="shared" si="7"/>
        <v>-6.9951034276003535E-2</v>
      </c>
      <c r="J270" s="93">
        <f>AVERAGE(I270:I272)</f>
        <v>3.0796067060435233E-2</v>
      </c>
      <c r="K270" s="94"/>
      <c r="L270" s="91">
        <f>(J270-J41)/100</f>
        <v>7.4033990203640793E-4</v>
      </c>
      <c r="M270" s="91"/>
    </row>
    <row r="271" spans="2:13" ht="20.100000000000001" customHeight="1" x14ac:dyDescent="0.15">
      <c r="B271" s="127"/>
      <c r="C271" s="151">
        <v>2</v>
      </c>
      <c r="D271" s="145"/>
      <c r="E271" s="149">
        <f>耐久性复测!K11</f>
        <v>20</v>
      </c>
      <c r="F271" s="149"/>
      <c r="G271" s="150">
        <f>耐久性复测!H11</f>
        <v>19.979890000000001</v>
      </c>
      <c r="H271" s="150"/>
      <c r="I271" s="5">
        <f t="shared" si="7"/>
        <v>0.10065120478640753</v>
      </c>
      <c r="J271" s="97"/>
      <c r="K271" s="98"/>
      <c r="L271" s="91"/>
      <c r="M271" s="91"/>
    </row>
    <row r="272" spans="2:13" ht="20.100000000000001" customHeight="1" x14ac:dyDescent="0.15">
      <c r="B272" s="127"/>
      <c r="C272" s="151">
        <v>3</v>
      </c>
      <c r="D272" s="145"/>
      <c r="E272" s="149">
        <f>耐久性复测!K16</f>
        <v>20</v>
      </c>
      <c r="F272" s="149"/>
      <c r="G272" s="150">
        <f>耐久性复测!H16</f>
        <v>19.987670000000001</v>
      </c>
      <c r="H272" s="150"/>
      <c r="I272" s="5">
        <f t="shared" si="7"/>
        <v>6.16880306709017E-2</v>
      </c>
      <c r="J272" s="95"/>
      <c r="K272" s="96"/>
      <c r="L272" s="91"/>
      <c r="M272" s="91"/>
    </row>
    <row r="273" spans="2:13" ht="20.100000000000001" customHeight="1" x14ac:dyDescent="0.15">
      <c r="B273" s="155" t="s">
        <v>71</v>
      </c>
      <c r="C273" s="151">
        <v>1</v>
      </c>
      <c r="D273" s="145"/>
      <c r="E273" s="149">
        <f>耐久性复测!K17</f>
        <v>20</v>
      </c>
      <c r="F273" s="149"/>
      <c r="G273" s="150">
        <f>耐久性复测!H17</f>
        <v>19.96433</v>
      </c>
      <c r="H273" s="150"/>
      <c r="I273" s="5">
        <f t="shared" si="7"/>
        <v>0.1786686555471666</v>
      </c>
      <c r="J273" s="93">
        <f>AVERAGE(I273:I274)</f>
        <v>8.298513412117775E-2</v>
      </c>
      <c r="K273" s="94"/>
      <c r="L273" s="92">
        <f>(J273-J47)/100</f>
        <v>3.4951950811265421E-3</v>
      </c>
      <c r="M273" s="92"/>
    </row>
    <row r="274" spans="2:13" ht="20.100000000000001" customHeight="1" x14ac:dyDescent="0.15">
      <c r="B274" s="119"/>
      <c r="C274" s="151">
        <v>2</v>
      </c>
      <c r="D274" s="145"/>
      <c r="E274" s="149">
        <f>耐久性复测!K20</f>
        <v>20</v>
      </c>
      <c r="F274" s="149"/>
      <c r="G274" s="150">
        <f>耐久性复测!H20</f>
        <v>20.00254</v>
      </c>
      <c r="H274" s="150"/>
      <c r="I274" s="5">
        <f t="shared" si="7"/>
        <v>-1.2698387304811112E-2</v>
      </c>
      <c r="J274" s="95"/>
      <c r="K274" s="96"/>
      <c r="L274" s="92"/>
      <c r="M274" s="92"/>
    </row>
    <row r="275" spans="2:13" ht="20.100000000000001" customHeight="1" x14ac:dyDescent="0.15">
      <c r="B275" s="155" t="s">
        <v>200</v>
      </c>
      <c r="C275" s="151">
        <v>1</v>
      </c>
      <c r="D275" s="145"/>
      <c r="E275" s="149">
        <f>耐久性复测!K18</f>
        <v>10</v>
      </c>
      <c r="F275" s="149"/>
      <c r="G275" s="150">
        <f>耐久性复测!H18</f>
        <v>10.01075</v>
      </c>
      <c r="H275" s="150"/>
      <c r="I275" s="5">
        <f t="shared" si="7"/>
        <v>-0.10738456159628215</v>
      </c>
      <c r="J275" s="93">
        <f>AVERAGE(I275:I276)</f>
        <v>-0.12384371802882811</v>
      </c>
      <c r="K275" s="94"/>
      <c r="L275" s="92">
        <f>(J275-J49)/100</f>
        <v>2.8098011946801195E-3</v>
      </c>
      <c r="M275" s="92"/>
    </row>
    <row r="276" spans="2:13" ht="20.100000000000001" customHeight="1" x14ac:dyDescent="0.15">
      <c r="B276" s="119"/>
      <c r="C276" s="151">
        <v>2</v>
      </c>
      <c r="D276" s="145"/>
      <c r="E276" s="149">
        <f>耐久性复测!K21</f>
        <v>10</v>
      </c>
      <c r="F276" s="149"/>
      <c r="G276" s="150">
        <f>耐久性复测!H21</f>
        <v>10.014049999999999</v>
      </c>
      <c r="H276" s="150"/>
      <c r="I276" s="5">
        <f t="shared" si="7"/>
        <v>-0.14030287446137407</v>
      </c>
      <c r="J276" s="95"/>
      <c r="K276" s="96"/>
      <c r="L276" s="92"/>
      <c r="M276" s="92"/>
    </row>
    <row r="277" spans="2:13" ht="20.100000000000001" customHeight="1" x14ac:dyDescent="0.15">
      <c r="B277" s="155" t="s">
        <v>64</v>
      </c>
      <c r="C277" s="151">
        <v>1</v>
      </c>
      <c r="D277" s="145"/>
      <c r="E277" s="149">
        <f>耐久性复测!K19</f>
        <v>10</v>
      </c>
      <c r="F277" s="149"/>
      <c r="G277" s="150">
        <f>耐久性复测!H19</f>
        <v>9.9818850000000001</v>
      </c>
      <c r="H277" s="150"/>
      <c r="I277" s="5">
        <f>(E277-G277)/G277*100</f>
        <v>0.18147874875336553</v>
      </c>
      <c r="J277" s="93">
        <f>AVERAGE(I277:I278)</f>
        <v>7.1846515877191666E-2</v>
      </c>
      <c r="K277" s="94"/>
      <c r="L277" s="92">
        <f>(J277-J51)/100</f>
        <v>1.6525107528129451E-3</v>
      </c>
      <c r="M277" s="92"/>
    </row>
    <row r="278" spans="2:13" ht="20.100000000000001" customHeight="1" x14ac:dyDescent="0.15">
      <c r="B278" s="119"/>
      <c r="C278" s="127">
        <v>2</v>
      </c>
      <c r="D278" s="127"/>
      <c r="E278" s="149">
        <f>耐久性复测!K22</f>
        <v>10</v>
      </c>
      <c r="F278" s="149"/>
      <c r="G278" s="150">
        <f>耐久性复测!H22</f>
        <v>10.003780000000001</v>
      </c>
      <c r="H278" s="150"/>
      <c r="I278" s="5">
        <f>(E278-G278)/G278*100</f>
        <v>-3.7785716998982206E-2</v>
      </c>
      <c r="J278" s="95"/>
      <c r="K278" s="96"/>
      <c r="L278" s="92"/>
      <c r="M278" s="92"/>
    </row>
    <row r="279" spans="2:13" ht="20.100000000000001" customHeight="1" x14ac:dyDescent="0.2">
      <c r="B279" s="99" t="s">
        <v>50</v>
      </c>
      <c r="C279" s="100"/>
      <c r="D279" s="61"/>
      <c r="E279" s="61"/>
      <c r="F279" s="61"/>
      <c r="G279" s="101" t="s">
        <v>51</v>
      </c>
      <c r="H279" s="102"/>
      <c r="I279" s="61"/>
      <c r="J279" s="60" t="s">
        <v>52</v>
      </c>
      <c r="K279" s="102" t="inlineStr">
        <is>
          <t>2025.12.05 09:00~2026.03.24 16:00</t>
        </is>
      </c>
      <c r="L279" s="61"/>
      <c r="M279" s="102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03" t="s">
        <v>58</v>
      </c>
      <c r="M281" s="103"/>
    </row>
    <row r="284" spans="2:13" x14ac:dyDescent="0.15">
      <c r="B284" s="104" t="s">
        <v>67</v>
      </c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</row>
    <row r="285" spans="2:13" ht="20.25" x14ac:dyDescent="0.15">
      <c r="B285" s="105" t="s">
        <v>55</v>
      </c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</row>
    <row r="286" spans="2:13" ht="20.25" x14ac:dyDescent="0.15">
      <c r="B286" s="106" t="s">
        <v>68</v>
      </c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08" t="s">
        <v>22</v>
      </c>
      <c r="J287" s="108"/>
      <c r="K287" s="109" t="str">
        <f>K4</f>
        <v>2026E70-40-000006</v>
      </c>
      <c r="L287" s="109"/>
      <c r="M287" s="109"/>
    </row>
    <row r="288" spans="2:13" ht="20.100000000000001" customHeight="1" x14ac:dyDescent="0.2">
      <c r="B288" s="12" t="s">
        <v>23</v>
      </c>
      <c r="C288" s="111" t="str">
        <f>C5</f>
        <v>上海真兰仪表科技股份有限公司</v>
      </c>
      <c r="D288" s="111"/>
      <c r="E288" s="111"/>
      <c r="F288" s="111"/>
      <c r="G288" s="111"/>
      <c r="H288" s="111"/>
      <c r="I288" s="108" t="s">
        <v>140</v>
      </c>
      <c r="J288" s="108"/>
      <c r="K288" s="109" t="str">
        <f>K5</f>
        <v>超声波燃气表</v>
      </c>
      <c r="L288" s="109"/>
      <c r="M288" s="109"/>
    </row>
    <row r="289" spans="2:13" ht="20.100000000000001" customHeight="1" x14ac:dyDescent="0.2">
      <c r="B289" s="12" t="s">
        <v>25</v>
      </c>
      <c r="C289" s="111" t="str">
        <f>C6</f>
        <v>上海真兰仪表科技股份有限公司</v>
      </c>
      <c r="D289" s="111"/>
      <c r="E289" s="111"/>
      <c r="F289" s="111"/>
      <c r="G289" s="111"/>
      <c r="H289" s="111"/>
      <c r="I289" s="108" t="s">
        <v>135</v>
      </c>
      <c r="J289" s="108"/>
      <c r="K289" s="109" t="str">
        <f>K6</f>
        <v>UG1.6A LP Z2-NB</v>
      </c>
      <c r="L289" s="109"/>
      <c r="M289" s="109"/>
    </row>
    <row r="290" spans="2:13" ht="20.100000000000001" customHeight="1" x14ac:dyDescent="0.2">
      <c r="B290" s="13" t="s">
        <v>35</v>
      </c>
      <c r="C290" s="113" t="str">
        <f>C7</f>
        <v>2582928128</v>
      </c>
      <c r="D290" s="113"/>
      <c r="E290" s="113"/>
      <c r="F290" s="113"/>
      <c r="G290" s="115" t="s">
        <v>136</v>
      </c>
      <c r="H290" s="115"/>
      <c r="I290" s="80" t="s">
        <v>137</v>
      </c>
      <c r="J290" s="81" t="s">
        <v>138</v>
      </c>
      <c r="K290" s="78" t="s">
        <v>37</v>
      </c>
      <c r="L290" s="79" t="s">
        <v>38</v>
      </c>
      <c r="M290" s="78" t="s">
        <v>184</v>
      </c>
    </row>
    <row r="291" spans="2:13" ht="20.100000000000001" customHeight="1" x14ac:dyDescent="0.2">
      <c r="B291" s="18" t="s">
        <v>41</v>
      </c>
      <c r="C291" s="113" t="str">
        <f>C8</f>
        <v>(100~101)kPa</v>
      </c>
      <c r="D291" s="113"/>
      <c r="E291" s="113"/>
      <c r="F291" s="113"/>
      <c r="G291" s="143" t="s">
        <v>139</v>
      </c>
      <c r="H291" s="143"/>
      <c r="I291" s="109" t="str">
        <f>I8</f>
        <v>(0.016~2.5)m³/h</v>
      </c>
      <c r="J291" s="109"/>
      <c r="K291" s="81"/>
      <c r="L291" s="102"/>
      <c r="M291" s="102"/>
    </row>
    <row r="292" spans="2:13" ht="20.100000000000001" customHeight="1" x14ac:dyDescent="0.2">
      <c r="B292" s="18" t="s">
        <v>45</v>
      </c>
      <c r="C292" s="109" t="s">
        <v>46</v>
      </c>
      <c r="D292" s="109"/>
      <c r="E292" s="109"/>
      <c r="F292" s="109"/>
      <c r="G292" s="109"/>
      <c r="H292" s="109"/>
      <c r="I292" s="18" t="s">
        <v>47</v>
      </c>
      <c r="J292" s="109" t="s">
        <v>195</v>
      </c>
      <c r="K292" s="109"/>
      <c r="L292" s="73"/>
      <c r="M292" s="72"/>
    </row>
    <row r="293" spans="2:13" ht="20.100000000000001" customHeight="1" x14ac:dyDescent="0.2">
      <c r="B293" s="12" t="s">
        <v>65</v>
      </c>
      <c r="C293" s="12" t="s">
        <v>142</v>
      </c>
      <c r="D293" s="144">
        <v>2816</v>
      </c>
      <c r="E293" s="144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49</v>
      </c>
      <c r="C294" s="134" t="s">
        <v>77</v>
      </c>
      <c r="D294" s="134"/>
      <c r="E294" s="76">
        <f>E12</f>
        <v>2.5</v>
      </c>
      <c r="F294" s="26" t="s">
        <v>78</v>
      </c>
      <c r="G294" s="134" t="s">
        <v>79</v>
      </c>
      <c r="H294" s="134"/>
      <c r="I294" s="76">
        <f>I12</f>
        <v>1.6E-2</v>
      </c>
      <c r="J294" s="26" t="s">
        <v>78</v>
      </c>
      <c r="K294" s="76" t="s">
        <v>95</v>
      </c>
      <c r="L294" s="76">
        <f>L12</f>
        <v>0.25</v>
      </c>
      <c r="M294" s="26" t="s">
        <v>78</v>
      </c>
    </row>
    <row r="295" spans="2:13" ht="20.100000000000001" customHeight="1" x14ac:dyDescent="0.15">
      <c r="B295" s="123" t="s">
        <v>144</v>
      </c>
      <c r="C295" s="127" t="s">
        <v>145</v>
      </c>
      <c r="D295" s="127"/>
      <c r="E295" s="137" t="s">
        <v>146</v>
      </c>
      <c r="F295" s="138"/>
      <c r="G295" s="137" t="s">
        <v>147</v>
      </c>
      <c r="H295" s="138"/>
      <c r="I295" s="123" t="s">
        <v>148</v>
      </c>
      <c r="J295" s="137" t="s">
        <v>149</v>
      </c>
      <c r="K295" s="138"/>
      <c r="L295" s="124" t="s">
        <v>171</v>
      </c>
      <c r="M295" s="117" t="s">
        <v>89</v>
      </c>
    </row>
    <row r="296" spans="2:13" ht="20.100000000000001" customHeight="1" x14ac:dyDescent="0.15">
      <c r="B296" s="121"/>
      <c r="C296" s="127"/>
      <c r="D296" s="127"/>
      <c r="E296" s="139"/>
      <c r="F296" s="140"/>
      <c r="G296" s="139"/>
      <c r="H296" s="140"/>
      <c r="I296" s="121"/>
      <c r="J296" s="139"/>
      <c r="K296" s="140"/>
      <c r="L296" s="125"/>
      <c r="M296" s="118"/>
    </row>
    <row r="297" spans="2:13" ht="20.100000000000001" customHeight="1" x14ac:dyDescent="0.15">
      <c r="B297" s="121"/>
      <c r="C297" s="135"/>
      <c r="D297" s="136"/>
      <c r="E297" s="139"/>
      <c r="F297" s="140"/>
      <c r="G297" s="139"/>
      <c r="H297" s="140"/>
      <c r="I297" s="121"/>
      <c r="J297" s="139"/>
      <c r="K297" s="140"/>
      <c r="L297" s="125"/>
      <c r="M297" s="118"/>
    </row>
    <row r="298" spans="2:13" ht="20.100000000000001" customHeight="1" x14ac:dyDescent="0.15">
      <c r="B298" s="122"/>
      <c r="C298" s="135"/>
      <c r="D298" s="136"/>
      <c r="E298" s="141" t="s">
        <v>151</v>
      </c>
      <c r="F298" s="134"/>
      <c r="G298" s="141" t="s">
        <v>151</v>
      </c>
      <c r="H298" s="134"/>
      <c r="I298" s="75" t="s">
        <v>152</v>
      </c>
      <c r="J298" s="141" t="s">
        <v>152</v>
      </c>
      <c r="K298" s="142"/>
      <c r="L298" s="77" t="s">
        <v>114</v>
      </c>
      <c r="M298" s="119"/>
    </row>
    <row r="299" spans="2:13" ht="20.100000000000001" customHeight="1" x14ac:dyDescent="0.15">
      <c r="B299" s="127" t="s">
        <v>153</v>
      </c>
      <c r="C299" s="127">
        <v>1</v>
      </c>
      <c r="D299" s="127"/>
      <c r="E299" s="133">
        <f>耐久性复测!K2</f>
        <v>50</v>
      </c>
      <c r="F299" s="133"/>
      <c r="G299" s="132">
        <f>耐久性复测!H2</f>
        <v>50.084470000000003</v>
      </c>
      <c r="H299" s="132"/>
      <c r="I299" s="82">
        <f t="shared" ref="I299:I310" si="8">(E299-G299)/G299*100</f>
        <v>-0.16865507411779171</v>
      </c>
      <c r="J299" s="126">
        <f>AVERAGE(I299:I300)</f>
        <v>-7.4615651010626949E-2</v>
      </c>
      <c r="K299" s="126"/>
      <c r="L299" s="127" t="s">
        <v>21</v>
      </c>
      <c r="M299" s="120" t="s">
        <v>190</v>
      </c>
    </row>
    <row r="300" spans="2:13" ht="20.100000000000001" customHeight="1" x14ac:dyDescent="0.15">
      <c r="B300" s="127"/>
      <c r="C300" s="127">
        <v>2</v>
      </c>
      <c r="D300" s="127"/>
      <c r="E300" s="133">
        <f>耐久性复测!K7</f>
        <v>50</v>
      </c>
      <c r="F300" s="133"/>
      <c r="G300" s="132">
        <f>耐久性复测!H7</f>
        <v>49.990290000000002</v>
      </c>
      <c r="H300" s="132"/>
      <c r="I300" s="82">
        <f t="shared" si="8"/>
        <v>1.9423772096537811E-2</v>
      </c>
      <c r="J300" s="126"/>
      <c r="K300" s="126"/>
      <c r="L300" s="127"/>
      <c r="M300" s="183"/>
    </row>
    <row r="301" spans="2:13" ht="20.100000000000001" customHeight="1" x14ac:dyDescent="0.15">
      <c r="B301" s="127" t="s">
        <v>185</v>
      </c>
      <c r="C301" s="127">
        <v>1</v>
      </c>
      <c r="D301" s="127"/>
      <c r="E301" s="133">
        <f>耐久性复测!K3</f>
        <v>30</v>
      </c>
      <c r="F301" s="133"/>
      <c r="G301" s="132">
        <f>耐久性复测!H3</f>
        <v>30.0228</v>
      </c>
      <c r="H301" s="132"/>
      <c r="I301" s="82">
        <f t="shared" si="8"/>
        <v>-7.5942283864263674E-2</v>
      </c>
      <c r="J301" s="126">
        <f>AVERAGE(I301:I302)</f>
        <v>-9.0532496533304113E-2</v>
      </c>
      <c r="K301" s="126"/>
      <c r="L301" s="127" t="s">
        <v>21</v>
      </c>
      <c r="M301" s="183"/>
    </row>
    <row r="302" spans="2:13" ht="20.100000000000001" customHeight="1" x14ac:dyDescent="0.15">
      <c r="B302" s="127"/>
      <c r="C302" s="127">
        <v>2</v>
      </c>
      <c r="D302" s="127"/>
      <c r="E302" s="133">
        <f>耐久性复测!K8</f>
        <v>30</v>
      </c>
      <c r="F302" s="133"/>
      <c r="G302" s="132">
        <f>耐久性复测!H8</f>
        <v>30.031569999999999</v>
      </c>
      <c r="H302" s="132"/>
      <c r="I302" s="82">
        <f t="shared" si="8"/>
        <v>-0.10512270920234455</v>
      </c>
      <c r="J302" s="126"/>
      <c r="K302" s="126"/>
      <c r="L302" s="127"/>
      <c r="M302" s="183"/>
    </row>
    <row r="303" spans="2:13" ht="20.100000000000001" customHeight="1" x14ac:dyDescent="0.15">
      <c r="B303" s="127" t="s">
        <v>186</v>
      </c>
      <c r="C303" s="127">
        <v>1</v>
      </c>
      <c r="D303" s="127"/>
      <c r="E303" s="133">
        <f>耐久性复测!K4</f>
        <v>20</v>
      </c>
      <c r="F303" s="133"/>
      <c r="G303" s="132">
        <f>耐久性复测!H4</f>
        <v>20.017109999999999</v>
      </c>
      <c r="H303" s="132"/>
      <c r="I303" s="82">
        <f t="shared" si="8"/>
        <v>-8.5476874533830544E-2</v>
      </c>
      <c r="J303" s="126">
        <f>AVERAGE(I303:I304)</f>
        <v>9.365803247461453E-3</v>
      </c>
      <c r="K303" s="126"/>
      <c r="L303" s="127" t="s">
        <v>21</v>
      </c>
      <c r="M303" s="183"/>
    </row>
    <row r="304" spans="2:13" ht="20.100000000000001" customHeight="1" x14ac:dyDescent="0.15">
      <c r="B304" s="127"/>
      <c r="C304" s="127">
        <v>2</v>
      </c>
      <c r="D304" s="127"/>
      <c r="E304" s="133">
        <f>耐久性复测!K9</f>
        <v>20</v>
      </c>
      <c r="F304" s="133"/>
      <c r="G304" s="132">
        <f>耐久性复测!H9</f>
        <v>19.979179999999999</v>
      </c>
      <c r="H304" s="132"/>
      <c r="I304" s="82">
        <f t="shared" si="8"/>
        <v>0.10420848102875345</v>
      </c>
      <c r="J304" s="126"/>
      <c r="K304" s="126"/>
      <c r="L304" s="127"/>
      <c r="M304" s="183"/>
    </row>
    <row r="305" spans="2:13" ht="20.100000000000001" customHeight="1" x14ac:dyDescent="0.15">
      <c r="B305" s="127" t="s">
        <v>155</v>
      </c>
      <c r="C305" s="127">
        <v>1</v>
      </c>
      <c r="D305" s="127"/>
      <c r="E305" s="133">
        <f>耐久性复测!K5</f>
        <v>20</v>
      </c>
      <c r="F305" s="133"/>
      <c r="G305" s="132">
        <f>耐久性复测!H5</f>
        <v>20.016960000000001</v>
      </c>
      <c r="H305" s="132"/>
      <c r="I305" s="82">
        <f t="shared" si="8"/>
        <v>-8.4728150528356819E-2</v>
      </c>
      <c r="J305" s="126">
        <f>AVERAGE(I305:I306)</f>
        <v>2.6104555588508722E-2</v>
      </c>
      <c r="K305" s="126"/>
      <c r="L305" s="127" t="s">
        <v>21</v>
      </c>
      <c r="M305" s="183"/>
    </row>
    <row r="306" spans="2:13" ht="20.100000000000001" customHeight="1" x14ac:dyDescent="0.15">
      <c r="B306" s="127"/>
      <c r="C306" s="127">
        <v>2</v>
      </c>
      <c r="D306" s="127"/>
      <c r="E306" s="133">
        <f>耐久性复测!K10</f>
        <v>20</v>
      </c>
      <c r="F306" s="133"/>
      <c r="G306" s="132">
        <f>耐久性复测!H10</f>
        <v>19.972650000000002</v>
      </c>
      <c r="H306" s="132"/>
      <c r="I306" s="82">
        <f t="shared" si="8"/>
        <v>0.13693726170537426</v>
      </c>
      <c r="J306" s="126"/>
      <c r="K306" s="126"/>
      <c r="L306" s="127"/>
      <c r="M306" s="183"/>
    </row>
    <row r="307" spans="2:13" ht="20.100000000000001" customHeight="1" x14ac:dyDescent="0.15">
      <c r="B307" s="155" t="s">
        <v>187</v>
      </c>
      <c r="C307" s="127">
        <v>1</v>
      </c>
      <c r="D307" s="127"/>
      <c r="E307" s="133">
        <f>耐久性复测!K6</f>
        <v>20</v>
      </c>
      <c r="F307" s="133"/>
      <c r="G307" s="132">
        <f>耐久性复测!H6</f>
        <v>20.013999999999999</v>
      </c>
      <c r="H307" s="132"/>
      <c r="I307" s="82">
        <f t="shared" si="8"/>
        <v>-6.9951034276003535E-2</v>
      </c>
      <c r="J307" s="126">
        <f>AVERAGE(I307:I308)</f>
        <v>1.5350085255201998E-2</v>
      </c>
      <c r="K307" s="126"/>
      <c r="L307" s="127" t="s">
        <v>21</v>
      </c>
      <c r="M307" s="183"/>
    </row>
    <row r="308" spans="2:13" ht="20.100000000000001" customHeight="1" x14ac:dyDescent="0.15">
      <c r="B308" s="119"/>
      <c r="C308" s="127">
        <v>2</v>
      </c>
      <c r="D308" s="127"/>
      <c r="E308" s="133">
        <f>耐久性复测!K11</f>
        <v>20</v>
      </c>
      <c r="F308" s="133"/>
      <c r="G308" s="132">
        <f>耐久性复测!H11</f>
        <v>19.979890000000001</v>
      </c>
      <c r="H308" s="132"/>
      <c r="I308" s="82">
        <f t="shared" si="8"/>
        <v>0.10065120478640753</v>
      </c>
      <c r="J308" s="126"/>
      <c r="K308" s="126"/>
      <c r="L308" s="127"/>
      <c r="M308" s="183"/>
    </row>
    <row r="309" spans="2:13" ht="20.100000000000001" customHeight="1" x14ac:dyDescent="0.15">
      <c r="B309" s="155" t="s">
        <v>64</v>
      </c>
      <c r="C309" s="127">
        <v>1</v>
      </c>
      <c r="D309" s="127"/>
      <c r="E309" s="133">
        <f>耐久性复测!K19</f>
        <v>10</v>
      </c>
      <c r="F309" s="133"/>
      <c r="G309" s="132">
        <f>耐久性复测!H19</f>
        <v>9.9818850000000001</v>
      </c>
      <c r="H309" s="132"/>
      <c r="I309" s="82">
        <f t="shared" si="8"/>
        <v>0.18147874875336553</v>
      </c>
      <c r="J309" s="126">
        <f>AVERAGE(I309:I310)</f>
        <v>7.1846515877191666E-2</v>
      </c>
      <c r="K309" s="126"/>
      <c r="L309" s="127" t="s">
        <v>21</v>
      </c>
      <c r="M309" s="183"/>
    </row>
    <row r="310" spans="2:13" ht="20.100000000000001" customHeight="1" x14ac:dyDescent="0.15">
      <c r="B310" s="119"/>
      <c r="C310" s="127">
        <v>2</v>
      </c>
      <c r="D310" s="127"/>
      <c r="E310" s="133">
        <f>耐久性复测!K22</f>
        <v>10</v>
      </c>
      <c r="F310" s="133"/>
      <c r="G310" s="132">
        <f>耐久性复测!H22</f>
        <v>10.003780000000001</v>
      </c>
      <c r="H310" s="132"/>
      <c r="I310" s="82">
        <f t="shared" si="8"/>
        <v>-3.7785716998982206E-2</v>
      </c>
      <c r="J310" s="126"/>
      <c r="K310" s="126"/>
      <c r="L310" s="127"/>
      <c r="M310" s="184"/>
    </row>
    <row r="311" spans="2:13" ht="20.100000000000001" customHeight="1" x14ac:dyDescent="0.15">
      <c r="B311" s="127" t="s">
        <v>153</v>
      </c>
      <c r="C311" s="127">
        <v>1</v>
      </c>
      <c r="D311" s="127"/>
      <c r="E311" s="133">
        <f>振动跌落后!K2</f>
        <v>0</v>
      </c>
      <c r="F311" s="133"/>
      <c r="G311" s="132">
        <f>振动跌落后!H2</f>
        <v>0</v>
      </c>
      <c r="H311" s="132"/>
      <c r="I311" s="82" t="e">
        <f t="shared" ref="I311:I322" si="9">(E311-G311)/G311*100</f>
        <v>#DIV/0!</v>
      </c>
      <c r="J311" s="126" t="e">
        <f>AVERAGE(I311:I312)</f>
        <v>#DIV/0!</v>
      </c>
      <c r="K311" s="126"/>
      <c r="L311" s="126" t="e">
        <f>J311-J299</f>
        <v>#DIV/0!</v>
      </c>
      <c r="M311" s="120" t="s">
        <v>191</v>
      </c>
    </row>
    <row r="312" spans="2:13" ht="20.100000000000001" customHeight="1" x14ac:dyDescent="0.15">
      <c r="B312" s="127"/>
      <c r="C312" s="127">
        <v>2</v>
      </c>
      <c r="D312" s="127"/>
      <c r="E312" s="133">
        <f>振动跌落后!K8</f>
        <v>0</v>
      </c>
      <c r="F312" s="133"/>
      <c r="G312" s="132">
        <f>振动跌落后!H8</f>
        <v>0</v>
      </c>
      <c r="H312" s="132"/>
      <c r="I312" s="82" t="e">
        <f t="shared" si="9"/>
        <v>#DIV/0!</v>
      </c>
      <c r="J312" s="126"/>
      <c r="K312" s="126"/>
      <c r="L312" s="127"/>
      <c r="M312" s="183"/>
    </row>
    <row r="313" spans="2:13" ht="20.100000000000001" customHeight="1" x14ac:dyDescent="0.15">
      <c r="B313" s="127" t="s">
        <v>185</v>
      </c>
      <c r="C313" s="127">
        <v>1</v>
      </c>
      <c r="D313" s="127"/>
      <c r="E313" s="133">
        <f>振动跌落后!K3</f>
        <v>0</v>
      </c>
      <c r="F313" s="133"/>
      <c r="G313" s="132">
        <f>振动跌落后!H3</f>
        <v>0</v>
      </c>
      <c r="H313" s="132"/>
      <c r="I313" s="82" t="e">
        <f t="shared" si="9"/>
        <v>#DIV/0!</v>
      </c>
      <c r="J313" s="126" t="e">
        <f>AVERAGE(I313:I314)</f>
        <v>#DIV/0!</v>
      </c>
      <c r="K313" s="126"/>
      <c r="L313" s="126" t="e">
        <f>J313-J301</f>
        <v>#DIV/0!</v>
      </c>
      <c r="M313" s="183"/>
    </row>
    <row r="314" spans="2:13" ht="20.100000000000001" customHeight="1" x14ac:dyDescent="0.15">
      <c r="B314" s="127"/>
      <c r="C314" s="127">
        <v>2</v>
      </c>
      <c r="D314" s="127"/>
      <c r="E314" s="133">
        <f>振动跌落后!K9</f>
        <v>0</v>
      </c>
      <c r="F314" s="133"/>
      <c r="G314" s="132">
        <f>振动跌落后!H9</f>
        <v>0</v>
      </c>
      <c r="H314" s="132"/>
      <c r="I314" s="82" t="e">
        <f t="shared" si="9"/>
        <v>#DIV/0!</v>
      </c>
      <c r="J314" s="126"/>
      <c r="K314" s="126"/>
      <c r="L314" s="127"/>
      <c r="M314" s="183"/>
    </row>
    <row r="315" spans="2:13" ht="20.100000000000001" customHeight="1" x14ac:dyDescent="0.15">
      <c r="B315" s="127" t="s">
        <v>186</v>
      </c>
      <c r="C315" s="127">
        <v>1</v>
      </c>
      <c r="D315" s="127"/>
      <c r="E315" s="133">
        <f>振动跌落后!K4</f>
        <v>0</v>
      </c>
      <c r="F315" s="133"/>
      <c r="G315" s="132">
        <f>振动跌落后!H4</f>
        <v>0</v>
      </c>
      <c r="H315" s="132"/>
      <c r="I315" s="82" t="e">
        <f t="shared" si="9"/>
        <v>#DIV/0!</v>
      </c>
      <c r="J315" s="126" t="e">
        <f>AVERAGE(I315:I316)</f>
        <v>#DIV/0!</v>
      </c>
      <c r="K315" s="126"/>
      <c r="L315" s="126" t="e">
        <f>J315-J303</f>
        <v>#DIV/0!</v>
      </c>
      <c r="M315" s="183"/>
    </row>
    <row r="316" spans="2:13" ht="20.100000000000001" customHeight="1" x14ac:dyDescent="0.15">
      <c r="B316" s="127"/>
      <c r="C316" s="127">
        <v>2</v>
      </c>
      <c r="D316" s="127"/>
      <c r="E316" s="133">
        <f>振动跌落后!K10</f>
        <v>0</v>
      </c>
      <c r="F316" s="133"/>
      <c r="G316" s="132">
        <f>振动跌落后!H10</f>
        <v>0</v>
      </c>
      <c r="H316" s="132"/>
      <c r="I316" s="82" t="e">
        <f t="shared" si="9"/>
        <v>#DIV/0!</v>
      </c>
      <c r="J316" s="126"/>
      <c r="K316" s="126"/>
      <c r="L316" s="127"/>
      <c r="M316" s="183"/>
    </row>
    <row r="317" spans="2:13" ht="20.100000000000001" customHeight="1" x14ac:dyDescent="0.15">
      <c r="B317" s="127" t="s">
        <v>155</v>
      </c>
      <c r="C317" s="127">
        <v>1</v>
      </c>
      <c r="D317" s="127"/>
      <c r="E317" s="133">
        <f>振动跌落后!K5</f>
        <v>0</v>
      </c>
      <c r="F317" s="133"/>
      <c r="G317" s="132">
        <f>振动跌落后!H5</f>
        <v>0</v>
      </c>
      <c r="H317" s="132"/>
      <c r="I317" s="82" t="e">
        <f t="shared" si="9"/>
        <v>#DIV/0!</v>
      </c>
      <c r="J317" s="126" t="e">
        <f>AVERAGE(I317:I318)</f>
        <v>#DIV/0!</v>
      </c>
      <c r="K317" s="126"/>
      <c r="L317" s="126" t="e">
        <f>J317-J305</f>
        <v>#DIV/0!</v>
      </c>
      <c r="M317" s="183"/>
    </row>
    <row r="318" spans="2:13" ht="20.100000000000001" customHeight="1" x14ac:dyDescent="0.15">
      <c r="B318" s="127"/>
      <c r="C318" s="127">
        <v>2</v>
      </c>
      <c r="D318" s="127"/>
      <c r="E318" s="133">
        <f>振动跌落后!K11</f>
        <v>0</v>
      </c>
      <c r="F318" s="133"/>
      <c r="G318" s="132">
        <f>振动跌落后!H11</f>
        <v>0</v>
      </c>
      <c r="H318" s="132"/>
      <c r="I318" s="82" t="e">
        <f t="shared" si="9"/>
        <v>#DIV/0!</v>
      </c>
      <c r="J318" s="126"/>
      <c r="K318" s="126"/>
      <c r="L318" s="127"/>
      <c r="M318" s="183"/>
    </row>
    <row r="319" spans="2:13" ht="20.100000000000001" customHeight="1" x14ac:dyDescent="0.15">
      <c r="B319" s="155" t="s">
        <v>187</v>
      </c>
      <c r="C319" s="127">
        <v>1</v>
      </c>
      <c r="D319" s="127"/>
      <c r="E319" s="133">
        <f>振动跌落后!K6</f>
        <v>0</v>
      </c>
      <c r="F319" s="133"/>
      <c r="G319" s="132">
        <f>振动跌落后!H6</f>
        <v>0</v>
      </c>
      <c r="H319" s="132"/>
      <c r="I319" s="82" t="e">
        <f t="shared" si="9"/>
        <v>#DIV/0!</v>
      </c>
      <c r="J319" s="126" t="e">
        <f>AVERAGE(I319:I320)</f>
        <v>#DIV/0!</v>
      </c>
      <c r="K319" s="126"/>
      <c r="L319" s="126" t="e">
        <f>J319-J307</f>
        <v>#DIV/0!</v>
      </c>
      <c r="M319" s="183"/>
    </row>
    <row r="320" spans="2:13" ht="20.100000000000001" customHeight="1" x14ac:dyDescent="0.15">
      <c r="B320" s="119"/>
      <c r="C320" s="127">
        <v>2</v>
      </c>
      <c r="D320" s="127"/>
      <c r="E320" s="133">
        <f>振动跌落后!K12</f>
        <v>0</v>
      </c>
      <c r="F320" s="133"/>
      <c r="G320" s="132">
        <f>振动跌落后!H12</f>
        <v>0</v>
      </c>
      <c r="H320" s="132"/>
      <c r="I320" s="82" t="e">
        <f t="shared" si="9"/>
        <v>#DIV/0!</v>
      </c>
      <c r="J320" s="126"/>
      <c r="K320" s="126"/>
      <c r="L320" s="127"/>
      <c r="M320" s="183"/>
    </row>
    <row r="321" spans="2:13" ht="20.100000000000001" customHeight="1" x14ac:dyDescent="0.15">
      <c r="B321" s="155" t="s">
        <v>64</v>
      </c>
      <c r="C321" s="127">
        <v>1</v>
      </c>
      <c r="D321" s="127"/>
      <c r="E321" s="133">
        <f>振动跌落后!K7</f>
        <v>0</v>
      </c>
      <c r="F321" s="133"/>
      <c r="G321" s="132">
        <f>振动跌落后!H7</f>
        <v>0</v>
      </c>
      <c r="H321" s="132"/>
      <c r="I321" s="82" t="e">
        <f t="shared" si="9"/>
        <v>#DIV/0!</v>
      </c>
      <c r="J321" s="126" t="e">
        <f>AVERAGE(I321:I322)</f>
        <v>#DIV/0!</v>
      </c>
      <c r="K321" s="126"/>
      <c r="L321" s="126" t="e">
        <f>J321-J309</f>
        <v>#DIV/0!</v>
      </c>
      <c r="M321" s="183"/>
    </row>
    <row r="322" spans="2:13" ht="20.100000000000001" customHeight="1" x14ac:dyDescent="0.15">
      <c r="B322" s="119"/>
      <c r="C322" s="127">
        <v>2</v>
      </c>
      <c r="D322" s="127"/>
      <c r="E322" s="133">
        <f>振动跌落后!K13</f>
        <v>0</v>
      </c>
      <c r="F322" s="133"/>
      <c r="G322" s="132">
        <f>振动跌落后!H13</f>
        <v>0</v>
      </c>
      <c r="H322" s="132"/>
      <c r="I322" s="82" t="e">
        <f t="shared" si="9"/>
        <v>#DIV/0!</v>
      </c>
      <c r="J322" s="126"/>
      <c r="K322" s="126"/>
      <c r="L322" s="127"/>
      <c r="M322" s="184"/>
    </row>
    <row r="323" spans="2:13" ht="20.100000000000001" customHeight="1" x14ac:dyDescent="0.15">
      <c r="B323" s="71"/>
      <c r="C323" s="71"/>
      <c r="D323" s="71"/>
      <c r="E323" s="83"/>
      <c r="F323" s="83"/>
      <c r="G323" s="84"/>
      <c r="H323" s="84"/>
      <c r="I323" s="85"/>
      <c r="J323" s="85"/>
      <c r="K323" s="85"/>
      <c r="L323" s="71"/>
      <c r="M323" s="71"/>
    </row>
    <row r="324" spans="2:13" ht="15" x14ac:dyDescent="0.2">
      <c r="B324" s="99" t="s">
        <v>50</v>
      </c>
      <c r="C324" s="100"/>
      <c r="D324" s="74"/>
      <c r="E324" s="74"/>
      <c r="F324" s="74"/>
      <c r="G324" s="101" t="s">
        <v>51</v>
      </c>
      <c r="H324" s="102"/>
      <c r="I324" s="74"/>
      <c r="J324" s="73" t="s">
        <v>52</v>
      </c>
      <c r="K324" s="102" t="inlineStr">
        <is>
          <t>2026.04.03 10:15~2026.04.08 12:00</t>
        </is>
      </c>
      <c r="L324" s="74"/>
      <c r="M324" s="102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03" t="s">
        <v>58</v>
      </c>
      <c r="M326" s="103"/>
    </row>
  </sheetData>
  <mergeCells count="910"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G247:H247"/>
    <mergeCell ref="I247:J247"/>
    <mergeCell ref="L247:M247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2026-04-08T03:05:41Z</cp:lastPrinted>
  <dcterms:created xsi:type="dcterms:W3CDTF">2025-09-05T03:03:06Z</dcterms:created>
  <dcterms:modified xsi:type="dcterms:W3CDTF">2026-04-08T03:06:05Z</dcterms:modified>
</cp:coreProperties>
</file>