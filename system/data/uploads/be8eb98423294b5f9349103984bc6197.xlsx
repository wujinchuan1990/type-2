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15360" windowHeight="11490" activeTab="2"/>
  </bookViews>
  <sheets>
    <sheet name="初始" sheetId="1" r:id="rId1"/>
    <sheet name="贮存环境电磁兼容后复测" sheetId="4" r:id="rId2"/>
    <sheet name="打印页" sheetId="3" r:id="rId3"/>
  </sheets>
  <calcPr calcId="144525"/>
</workbook>
</file>

<file path=xl/calcChain.xml><?xml version="1.0" encoding="utf-8"?>
<calcChain xmlns="http://schemas.openxmlformats.org/spreadsheetml/2006/main">
  <c r="L14" i="3" l="1"/>
  <c r="I14" i="3"/>
  <c r="G40" i="3"/>
  <c r="G41" i="3"/>
  <c r="G42" i="3"/>
  <c r="G35" i="3"/>
  <c r="I35" i="3" s="1"/>
  <c r="G36" i="3"/>
  <c r="G37" i="3"/>
  <c r="G38" i="3"/>
  <c r="G39" i="3"/>
  <c r="G31" i="3"/>
  <c r="G32" i="3"/>
  <c r="G33" i="3"/>
  <c r="G34" i="3"/>
  <c r="E40" i="3"/>
  <c r="E41" i="3"/>
  <c r="E42" i="3"/>
  <c r="E32" i="3"/>
  <c r="I32" i="3" s="1"/>
  <c r="E33" i="3"/>
  <c r="I33" i="3" s="1"/>
  <c r="E34" i="3"/>
  <c r="I34" i="3" s="1"/>
  <c r="E35" i="3"/>
  <c r="E36" i="3"/>
  <c r="E37" i="3"/>
  <c r="E38" i="3"/>
  <c r="E39" i="3"/>
  <c r="E31" i="3"/>
  <c r="I31" i="3" s="1"/>
  <c r="E20" i="3"/>
  <c r="E21" i="3"/>
  <c r="E22" i="3"/>
  <c r="E23" i="3"/>
  <c r="E24" i="3"/>
  <c r="E25" i="3"/>
  <c r="E26" i="3"/>
  <c r="E27" i="3"/>
  <c r="E28" i="3"/>
  <c r="E29" i="3"/>
  <c r="E30" i="3"/>
  <c r="K59" i="3"/>
  <c r="C59" i="3"/>
  <c r="E66" i="3"/>
  <c r="G67" i="3"/>
  <c r="G68" i="3"/>
  <c r="G66" i="3"/>
  <c r="E67" i="3"/>
  <c r="E68" i="3"/>
  <c r="M57" i="3"/>
  <c r="K57" i="3"/>
  <c r="C13" i="3"/>
  <c r="G30" i="3"/>
  <c r="G25" i="3"/>
  <c r="G26" i="3"/>
  <c r="G27" i="3"/>
  <c r="G28" i="3"/>
  <c r="G29" i="3"/>
  <c r="G20" i="3"/>
  <c r="G21" i="3"/>
  <c r="G22" i="3"/>
  <c r="G23" i="3"/>
  <c r="G24" i="3"/>
  <c r="G19" i="3"/>
  <c r="E19" i="3"/>
  <c r="E14" i="3"/>
  <c r="I7" i="3"/>
  <c r="M6" i="3"/>
  <c r="K6" i="3"/>
  <c r="C6" i="3"/>
  <c r="K5" i="3"/>
  <c r="C5" i="3"/>
  <c r="C4" i="3"/>
  <c r="I26" i="3" l="1"/>
  <c r="I39" i="3"/>
  <c r="I25" i="3"/>
  <c r="I20" i="3"/>
  <c r="I27" i="3"/>
  <c r="I28" i="3"/>
  <c r="I21" i="3"/>
  <c r="I30" i="3"/>
  <c r="I22" i="3"/>
  <c r="I29" i="3"/>
  <c r="I23" i="3"/>
  <c r="I24" i="3"/>
  <c r="I37" i="3"/>
  <c r="I36" i="3"/>
  <c r="J31" i="3" s="1"/>
  <c r="I38" i="3"/>
  <c r="I42" i="3"/>
  <c r="I40" i="3"/>
  <c r="I41" i="3"/>
  <c r="J25" i="3" l="1"/>
  <c r="K31" i="3"/>
  <c r="K37" i="3"/>
  <c r="K25" i="3"/>
  <c r="J37" i="3"/>
  <c r="L61" i="3" l="1"/>
  <c r="I61" i="3"/>
  <c r="E61" i="3"/>
  <c r="I58" i="3"/>
  <c r="I67" i="3"/>
  <c r="J59" i="3"/>
  <c r="C57" i="3"/>
  <c r="C56" i="3"/>
  <c r="C55" i="3"/>
  <c r="K55" i="3"/>
  <c r="K56" i="3"/>
  <c r="I68" i="3" l="1"/>
  <c r="I66" i="3"/>
  <c r="I19" i="3"/>
  <c r="J19" i="3" l="1"/>
  <c r="K19" i="3"/>
  <c r="J66" i="3"/>
</calcChain>
</file>

<file path=xl/sharedStrings.xml><?xml version="1.0" encoding="utf-8"?>
<sst xmlns="http://schemas.openxmlformats.org/spreadsheetml/2006/main" count="585" uniqueCount="411">
  <si>
    <t>委托单位</t>
  </si>
  <si>
    <t>/</t>
  </si>
  <si>
    <t>型号规格</t>
  </si>
  <si>
    <t>证书编号</t>
  </si>
  <si>
    <t>样品名称</t>
  </si>
  <si>
    <t>出厂编号</t>
  </si>
  <si>
    <t>准确度</t>
  </si>
  <si>
    <t>1.0级</t>
  </si>
  <si>
    <t>制造单位</t>
  </si>
  <si>
    <t>流量范围</t>
  </si>
  <si>
    <t>外观密封</t>
  </si>
  <si>
    <t>合格</t>
  </si>
  <si>
    <t>测量依据</t>
  </si>
  <si>
    <t>脉冲当量</t>
  </si>
  <si>
    <t>测量结果</t>
  </si>
  <si>
    <t>qt≤q＜qmax</t>
  </si>
  <si>
    <t>qmin≤q＜qt</t>
  </si>
  <si>
    <t>环境温度</t>
  </si>
  <si>
    <t>(20-21)℃</t>
  </si>
  <si>
    <t>环境湿度</t>
  </si>
  <si>
    <t>示值误差</t>
  </si>
  <si>
    <t>测量介质</t>
  </si>
  <si>
    <t>空气</t>
  </si>
  <si>
    <t>其它</t>
  </si>
  <si>
    <t>重 复 性</t>
  </si>
  <si>
    <t>介质温度</t>
  </si>
  <si>
    <t>介质压力</t>
  </si>
  <si>
    <t>脉冲已知</t>
  </si>
  <si>
    <t>测量用标准器名称：标准表法气体流量标准装置  扩展不确定度：0.3%  流量范围   m^3/h   证书编号：</t>
  </si>
  <si>
    <t>测量结论</t>
  </si>
  <si>
    <t>检测</t>
  </si>
  <si>
    <t>序号</t>
  </si>
  <si>
    <t>标准表</t>
  </si>
  <si>
    <t>标准表在</t>
  </si>
  <si>
    <t>被检表</t>
  </si>
  <si>
    <t>频率</t>
  </si>
  <si>
    <t>被测</t>
  </si>
  <si>
    <t>被测体积</t>
  </si>
  <si>
    <t>重复性</t>
  </si>
  <si>
    <t>流量点</t>
  </si>
  <si>
    <t>时间</t>
  </si>
  <si>
    <t>示值</t>
  </si>
  <si>
    <t>被检处流量</t>
  </si>
  <si>
    <t>被检处体积</t>
  </si>
  <si>
    <t>压力</t>
  </si>
  <si>
    <t>温度</t>
  </si>
  <si>
    <t>脉冲</t>
  </si>
  <si>
    <t>m^3/h</t>
  </si>
  <si>
    <t>s</t>
  </si>
  <si>
    <t>L</t>
  </si>
  <si>
    <t>kPa</t>
  </si>
  <si>
    <t>℃</t>
  </si>
  <si>
    <t>Hz</t>
  </si>
  <si>
    <t>N</t>
  </si>
  <si>
    <t>%</t>
  </si>
  <si>
    <t>1</t>
  </si>
  <si>
    <t>20.60</t>
  </si>
  <si>
    <t>-0.32</t>
  </si>
  <si>
    <t>0.02</t>
  </si>
  <si>
    <t>2</t>
  </si>
  <si>
    <t>3</t>
  </si>
  <si>
    <t>20.63</t>
  </si>
  <si>
    <t>-0.15</t>
  </si>
  <si>
    <t>20.65</t>
  </si>
  <si>
    <t>0.03</t>
  </si>
  <si>
    <t>0.22</t>
  </si>
  <si>
    <t>-0.26</t>
  </si>
  <si>
    <t>-0.80</t>
  </si>
  <si>
    <t>-0.81</t>
  </si>
  <si>
    <t>（速度式、容积式、质量式）流量计测量记录单</t>
    <phoneticPr fontId="3" type="noConversion"/>
  </si>
  <si>
    <t>流量范围</t>
    <phoneticPr fontId="3" type="noConversion"/>
  </si>
  <si>
    <t>器 具 名 称</t>
    <phoneticPr fontId="3" type="noConversion"/>
  </si>
  <si>
    <t>型 号/规 格</t>
    <phoneticPr fontId="3" type="noConversion"/>
  </si>
  <si>
    <t>编       号</t>
    <phoneticPr fontId="3" type="noConversion"/>
  </si>
  <si>
    <t>证 书 编 号</t>
    <phoneticPr fontId="3" type="noConversion"/>
  </si>
  <si>
    <t xml:space="preserve"> 制  造   厂</t>
    <phoneticPr fontId="3" type="noConversion"/>
  </si>
  <si>
    <t>环 境 温 度</t>
    <phoneticPr fontId="3" type="noConversion"/>
  </si>
  <si>
    <t>环 境 湿 度</t>
    <phoneticPr fontId="3" type="noConversion"/>
  </si>
  <si>
    <t>大 气 压 力</t>
    <phoneticPr fontId="3" type="noConversion"/>
  </si>
  <si>
    <r>
      <t>测 量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地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点</t>
    </r>
    <phoneticPr fontId="3" type="noConversion"/>
  </si>
  <si>
    <t>准确度等级：</t>
    <phoneticPr fontId="3" type="noConversion"/>
  </si>
  <si>
    <t>级</t>
    <phoneticPr fontId="3" type="noConversion"/>
  </si>
  <si>
    <r>
      <rPr>
        <sz val="12"/>
        <rFont val="宋体"/>
        <family val="3"/>
        <charset val="134"/>
      </rPr>
      <t>张衡路</t>
    </r>
    <r>
      <rPr>
        <sz val="12"/>
        <rFont val="Arial"/>
        <family val="2"/>
      </rPr>
      <t>1500</t>
    </r>
    <r>
      <rPr>
        <sz val="12"/>
        <rFont val="宋体"/>
        <family val="3"/>
        <charset val="134"/>
      </rPr>
      <t>号流量大力值楼</t>
    </r>
    <r>
      <rPr>
        <sz val="12"/>
        <rFont val="Arial"/>
        <family val="2"/>
      </rPr>
      <t>101</t>
    </r>
    <r>
      <rPr>
        <sz val="12"/>
        <rFont val="宋体"/>
        <family val="3"/>
        <charset val="134"/>
      </rPr>
      <t>室</t>
    </r>
    <phoneticPr fontId="3" type="noConversion"/>
  </si>
  <si>
    <t>技术依据：</t>
    <phoneticPr fontId="3" type="noConversion"/>
  </si>
  <si>
    <r>
      <rPr>
        <sz val="12"/>
        <rFont val="宋体"/>
        <family val="3"/>
        <charset val="134"/>
      </rPr>
      <t>符合要求</t>
    </r>
    <phoneticPr fontId="3" type="noConversion"/>
  </si>
  <si>
    <t>m³/h</t>
    <phoneticPr fontId="3" type="noConversion"/>
  </si>
  <si>
    <r>
      <rPr>
        <sz val="12"/>
        <rFont val="宋体"/>
        <family val="3"/>
        <charset val="134"/>
      </rPr>
      <t>耐压强度：</t>
    </r>
    <phoneticPr fontId="3" type="noConversion"/>
  </si>
  <si>
    <r>
      <rPr>
        <sz val="12"/>
        <rFont val="宋体"/>
        <family val="3"/>
        <charset val="134"/>
      </rPr>
      <t>仪表系数：</t>
    </r>
    <phoneticPr fontId="3" type="noConversion"/>
  </si>
  <si>
    <r>
      <t>MPa</t>
    </r>
    <r>
      <rPr>
        <sz val="12"/>
        <rFont val="宋体"/>
        <family val="3"/>
        <charset val="134"/>
      </rPr>
      <t>）</t>
    </r>
    <phoneticPr fontId="3" type="noConversion"/>
  </si>
  <si>
    <t>标准器编号：</t>
    <phoneticPr fontId="3" type="noConversion"/>
  </si>
  <si>
    <t>（最大工作压力</t>
    <phoneticPr fontId="3" type="noConversion"/>
  </si>
  <si>
    <t>(101-102)kPa</t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</si>
  <si>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</si>
  <si>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</si>
  <si>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3" type="noConversion"/>
  </si>
  <si>
    <t>测量数据：</t>
    <phoneticPr fontId="3" type="noConversion"/>
  </si>
  <si>
    <t>检测人员：</t>
    <phoneticPr fontId="3" type="noConversion"/>
  </si>
  <si>
    <t>核验人员：</t>
    <phoneticPr fontId="3" type="noConversion"/>
  </si>
  <si>
    <t>第   页/共   页</t>
    <phoneticPr fontId="3" type="noConversion"/>
  </si>
  <si>
    <t>序 号</t>
    <phoneticPr fontId="3" type="noConversion"/>
  </si>
  <si>
    <t>检  测
流量点</t>
    <phoneticPr fontId="3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</si>
  <si>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L</t>
    </r>
    <r>
      <rPr>
        <sz val="12"/>
        <rFont val="宋体"/>
        <family val="3"/>
        <charset val="134"/>
      </rPr>
      <t>）</t>
    </r>
    <phoneticPr fontId="3" type="noConversion"/>
  </si>
  <si>
    <r>
      <rPr>
        <sz val="12"/>
        <rFont val="宋体"/>
        <family val="3"/>
        <charset val="134"/>
      </rPr>
      <t>流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量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计
读</t>
    </r>
    <r>
      <rPr>
        <sz val="12"/>
        <rFont val="Arial"/>
        <family val="2"/>
      </rPr>
      <t xml:space="preserve">     </t>
    </r>
    <r>
      <rPr>
        <sz val="12"/>
        <rFont val="宋体"/>
        <family val="3"/>
        <charset val="134"/>
      </rPr>
      <t>数</t>
    </r>
    <phoneticPr fontId="3" type="noConversion"/>
  </si>
  <si>
    <r>
      <rPr>
        <sz val="12"/>
        <rFont val="宋体"/>
        <family val="3"/>
        <charset val="134"/>
      </rPr>
      <t>标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准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器
读</t>
    </r>
    <r>
      <rPr>
        <sz val="12"/>
        <rFont val="Arial"/>
        <family val="2"/>
      </rPr>
      <t xml:space="preserve">     </t>
    </r>
    <r>
      <rPr>
        <sz val="12"/>
        <rFont val="宋体"/>
        <family val="3"/>
        <charset val="134"/>
      </rPr>
      <t>数</t>
    </r>
    <phoneticPr fontId="3" type="noConversion"/>
  </si>
  <si>
    <r>
      <rPr>
        <sz val="12"/>
        <rFont val="宋体"/>
        <family val="3"/>
        <charset val="134"/>
      </rPr>
      <t>示值误差</t>
    </r>
    <phoneticPr fontId="3" type="noConversion"/>
  </si>
  <si>
    <r>
      <rPr>
        <sz val="12"/>
        <rFont val="宋体"/>
        <family val="3"/>
        <charset val="134"/>
      </rPr>
      <t>重复性</t>
    </r>
    <phoneticPr fontId="3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</si>
  <si>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%</t>
    </r>
    <r>
      <rPr>
        <sz val="12"/>
        <rFont val="宋体"/>
        <family val="3"/>
        <charset val="134"/>
      </rPr>
      <t>）</t>
    </r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</si>
  <si>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3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</si>
  <si>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3" type="noConversion"/>
  </si>
  <si>
    <t>平    均
示值误差</t>
    <phoneticPr fontId="3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</si>
  <si>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%</t>
    </r>
    <r>
      <rPr>
        <sz val="12"/>
        <rFont val="宋体"/>
        <family val="3"/>
        <charset val="134"/>
      </rPr>
      <t>）</t>
    </r>
    <phoneticPr fontId="3" type="noConversion"/>
  </si>
  <si>
    <r>
      <rPr>
        <sz val="12"/>
        <rFont val="宋体"/>
        <family val="3"/>
        <charset val="134"/>
      </rPr>
      <t>备</t>
    </r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注</t>
    </r>
    <phoneticPr fontId="3" type="noConversion"/>
  </si>
  <si>
    <r>
      <rPr>
        <sz val="12"/>
        <rFont val="宋体"/>
        <family val="3"/>
        <charset val="134"/>
      </rPr>
      <t>平</t>
    </r>
    <r>
      <rPr>
        <sz val="12"/>
        <rFont val="Arial"/>
        <family val="2"/>
      </rPr>
      <t xml:space="preserve">       </t>
    </r>
    <r>
      <rPr>
        <sz val="12"/>
        <rFont val="宋体"/>
        <family val="3"/>
        <charset val="134"/>
      </rPr>
      <t>均
示值误差</t>
    </r>
    <phoneticPr fontId="3" type="noConversion"/>
  </si>
  <si>
    <r>
      <t>文件号</t>
    </r>
    <r>
      <rPr>
        <sz val="10"/>
        <rFont val="Arial"/>
        <family val="2"/>
      </rPr>
      <t>JDJ/E31T002.2/0-2017</t>
    </r>
    <phoneticPr fontId="3" type="noConversion"/>
  </si>
  <si>
    <t>涡 街 流 量 计 测 量 记 录   (脉冲已知系数)</t>
  </si>
  <si>
    <t>LUGB 015YDMEJCX2BB-401N15NN4</t>
  </si>
  <si>
    <t>2026E70-40-</t>
  </si>
  <si>
    <t>涡街流量计</t>
  </si>
  <si>
    <t xml:space="preserve">2026010021                   </t>
  </si>
  <si>
    <t>上海自仪海莱特流量仪表有限公司</t>
  </si>
  <si>
    <t xml:space="preserve"> ( 3.2～32 )m^3/h</t>
  </si>
  <si>
    <t>JJG 1029-2007《涡街流量计》</t>
  </si>
  <si>
    <t>333.004 1/L</t>
  </si>
  <si>
    <t>(68-70)%RH</t>
  </si>
  <si>
    <t>-1.23%</t>
  </si>
  <si>
    <t>-0.53%</t>
  </si>
  <si>
    <t>0.09%</t>
  </si>
  <si>
    <t>0.16%</t>
  </si>
  <si>
    <t>20.65℃</t>
  </si>
  <si>
    <t>94.469kPa</t>
  </si>
  <si>
    <t>示值误差 不合格</t>
  </si>
  <si>
    <t>32</t>
    <phoneticPr fontId="10" type="noConversion"/>
  </si>
  <si>
    <t>44.5840</t>
  </si>
  <si>
    <t>389.683</t>
  </si>
  <si>
    <t>31.4039</t>
  </si>
  <si>
    <t>388.920</t>
  </si>
  <si>
    <t>94.469</t>
  </si>
  <si>
    <t>2898.2</t>
  </si>
  <si>
    <t>129215</t>
  </si>
  <si>
    <t>388.028</t>
  </si>
  <si>
    <t>-0.23</t>
  </si>
  <si>
    <t>-1.23</t>
  </si>
  <si>
    <t>0.09</t>
  </si>
  <si>
    <t>44.4294</t>
  </si>
  <si>
    <t>387.883</t>
  </si>
  <si>
    <t>31.3643</t>
  </si>
  <si>
    <t>387.082</t>
  </si>
  <si>
    <t>94.477</t>
  </si>
  <si>
    <t>2897.0</t>
  </si>
  <si>
    <t>128712</t>
  </si>
  <si>
    <t>386.518</t>
  </si>
  <si>
    <t>44.1165</t>
  </si>
  <si>
    <t>385.271</t>
  </si>
  <si>
    <t>31.3703</t>
  </si>
  <si>
    <t>384.429</t>
  </si>
  <si>
    <t>2892.4</t>
  </si>
  <si>
    <t>127601</t>
  </si>
  <si>
    <t>383.182</t>
  </si>
  <si>
    <t>31.31</t>
  </si>
  <si>
    <t>44.6633</t>
  </si>
  <si>
    <t>389.689</t>
  </si>
  <si>
    <t>31.3397</t>
  </si>
  <si>
    <t>388.816</t>
  </si>
  <si>
    <t>94.497</t>
  </si>
  <si>
    <t>20.56</t>
  </si>
  <si>
    <t>2891.4</t>
  </si>
  <si>
    <t>129140</t>
  </si>
  <si>
    <t>387.803</t>
  </si>
  <si>
    <t>0.04</t>
  </si>
  <si>
    <t>44.3813</t>
  </si>
  <si>
    <t>386.809</t>
  </si>
  <si>
    <t>31.3042</t>
  </si>
  <si>
    <t>385.923</t>
  </si>
  <si>
    <t>94.503</t>
  </si>
  <si>
    <t>20.54</t>
  </si>
  <si>
    <t>2890.2</t>
  </si>
  <si>
    <t>128273</t>
  </si>
  <si>
    <t>385.200</t>
  </si>
  <si>
    <t>-0.19</t>
  </si>
  <si>
    <t>44.3678</t>
  </si>
  <si>
    <t>386.614</t>
  </si>
  <si>
    <t>31.2965</t>
  </si>
  <si>
    <t>385.711</t>
  </si>
  <si>
    <t>94.519</t>
  </si>
  <si>
    <t>20.51</t>
  </si>
  <si>
    <t>2887.5</t>
  </si>
  <si>
    <t>128114</t>
  </si>
  <si>
    <t>384.722</t>
  </si>
  <si>
    <t>12</t>
    <phoneticPr fontId="10" type="noConversion"/>
  </si>
  <si>
    <t>44.1021</t>
  </si>
  <si>
    <t>154.326</t>
  </si>
  <si>
    <t>12.5871</t>
  </si>
  <si>
    <t>154.200</t>
  </si>
  <si>
    <t>99.249</t>
  </si>
  <si>
    <t>20.52</t>
  </si>
  <si>
    <t>1172.5</t>
  </si>
  <si>
    <t>51709</t>
  </si>
  <si>
    <t>155.280</t>
  </si>
  <si>
    <t>0.70</t>
  </si>
  <si>
    <t>-0.39</t>
  </si>
  <si>
    <t>0.08</t>
  </si>
  <si>
    <t>45.0522</t>
  </si>
  <si>
    <t>157.566</t>
  </si>
  <si>
    <t>12.5813</t>
  </si>
  <si>
    <t>157.449</t>
  </si>
  <si>
    <t>99.252</t>
  </si>
  <si>
    <t>20.50</t>
  </si>
  <si>
    <t>1170.0</t>
  </si>
  <si>
    <t>52713</t>
  </si>
  <si>
    <t>158.295</t>
  </si>
  <si>
    <t>0.54</t>
  </si>
  <si>
    <t>44.2577</t>
  </si>
  <si>
    <t>155.582</t>
  </si>
  <si>
    <t>12.6462</t>
  </si>
  <si>
    <t>155.469</t>
  </si>
  <si>
    <t>99.241</t>
  </si>
  <si>
    <t>20.49</t>
  </si>
  <si>
    <t>1177.0</t>
  </si>
  <si>
    <t>52090</t>
  </si>
  <si>
    <t>156.425</t>
  </si>
  <si>
    <t>0.61</t>
  </si>
  <si>
    <t>12.65</t>
  </si>
  <si>
    <t>44.8505</t>
  </si>
  <si>
    <t>157.531</t>
  </si>
  <si>
    <t>12.6356</t>
  </si>
  <si>
    <t>157.420</t>
  </si>
  <si>
    <t>99.243</t>
  </si>
  <si>
    <t>20.48</t>
  </si>
  <si>
    <t>1175.8</t>
  </si>
  <si>
    <t>52735</t>
  </si>
  <si>
    <t>158.361</t>
  </si>
  <si>
    <t>0.60</t>
  </si>
  <si>
    <t>-0.43</t>
  </si>
  <si>
    <t>44.4761</t>
  </si>
  <si>
    <t>156.323</t>
  </si>
  <si>
    <t>12.6443</t>
  </si>
  <si>
    <t>156.213</t>
  </si>
  <si>
    <t>20.47</t>
  </si>
  <si>
    <t>1176.4</t>
  </si>
  <si>
    <t>52322</t>
  </si>
  <si>
    <t>157.121</t>
  </si>
  <si>
    <t>0.58</t>
  </si>
  <si>
    <t>43.9775</t>
  </si>
  <si>
    <t>154.859</t>
  </si>
  <si>
    <t>12.6678</t>
  </si>
  <si>
    <t>154.750</t>
  </si>
  <si>
    <t>99.239</t>
  </si>
  <si>
    <t>20.46</t>
  </si>
  <si>
    <t>1178.3</t>
  </si>
  <si>
    <t>51818</t>
  </si>
  <si>
    <t>155.608</t>
  </si>
  <si>
    <t>0.55</t>
  </si>
  <si>
    <t>45.1006</t>
  </si>
  <si>
    <t>82.4584</t>
  </si>
  <si>
    <t>6.58005</t>
  </si>
  <si>
    <t>82.4345</t>
  </si>
  <si>
    <t>99.987</t>
  </si>
  <si>
    <t>20.45</t>
  </si>
  <si>
    <t>611.7</t>
  </si>
  <si>
    <t>27589</t>
  </si>
  <si>
    <t>82.8489</t>
  </si>
  <si>
    <t>0.50</t>
  </si>
  <si>
    <t>-0.53</t>
  </si>
  <si>
    <t>44.0859</t>
  </si>
  <si>
    <t>80.3493</t>
  </si>
  <si>
    <t>6.55867</t>
  </si>
  <si>
    <t>80.3180</t>
  </si>
  <si>
    <t>100.000</t>
  </si>
  <si>
    <t>609.6</t>
  </si>
  <si>
    <t>26876</t>
  </si>
  <si>
    <t>80.7077</t>
  </si>
  <si>
    <t>0.49</t>
  </si>
  <si>
    <t>44.9747</t>
  </si>
  <si>
    <t>82.5505</t>
  </si>
  <si>
    <t>6.60530</t>
  </si>
  <si>
    <t>82.5199</t>
  </si>
  <si>
    <t>99.996</t>
  </si>
  <si>
    <t>613.7</t>
  </si>
  <si>
    <t>27602</t>
  </si>
  <si>
    <t>82.8879</t>
  </si>
  <si>
    <t>0.45</t>
  </si>
  <si>
    <t>6.608</t>
  </si>
  <si>
    <t>43.8836</t>
  </si>
  <si>
    <t>80.1013</t>
  </si>
  <si>
    <t>6.56886</t>
  </si>
  <si>
    <t>80.0737</t>
  </si>
  <si>
    <t>99.989</t>
  </si>
  <si>
    <t>610.3</t>
  </si>
  <si>
    <t>26782</t>
  </si>
  <si>
    <t>80.4255</t>
  </si>
  <si>
    <t>0.44</t>
  </si>
  <si>
    <t>-0.44</t>
  </si>
  <si>
    <t>0.16</t>
  </si>
  <si>
    <t>44.7726</t>
  </si>
  <si>
    <t>82.3472</t>
  </si>
  <si>
    <t>6.61943</t>
  </si>
  <si>
    <t>82.3247</t>
  </si>
  <si>
    <t>99.995</t>
  </si>
  <si>
    <t>615.5</t>
  </si>
  <si>
    <t>27559</t>
  </si>
  <si>
    <t>82.7588</t>
  </si>
  <si>
    <t>0.53</t>
  </si>
  <si>
    <t>44.3352</t>
  </si>
  <si>
    <t>81.7538</t>
  </si>
  <si>
    <t>6.63666</t>
  </si>
  <si>
    <t>81.7327</t>
  </si>
  <si>
    <t>99.992</t>
  </si>
  <si>
    <t>618.5</t>
  </si>
  <si>
    <t>27421</t>
  </si>
  <si>
    <t>82.3444</t>
  </si>
  <si>
    <t>0.75</t>
  </si>
  <si>
    <t>3.2</t>
    <phoneticPr fontId="10" type="noConversion"/>
  </si>
  <si>
    <t>44.3332</t>
  </si>
  <si>
    <t>40.5032</t>
  </si>
  <si>
    <t>3.28850</t>
  </si>
  <si>
    <t>40.4971</t>
  </si>
  <si>
    <t>100.211</t>
  </si>
  <si>
    <t>302.9</t>
  </si>
  <si>
    <t>13428</t>
  </si>
  <si>
    <t>40.3238</t>
  </si>
  <si>
    <t>0.36</t>
  </si>
  <si>
    <t>44.0396</t>
  </si>
  <si>
    <t>40.4144</t>
  </si>
  <si>
    <t>3.30324</t>
  </si>
  <si>
    <t>40.4093</t>
  </si>
  <si>
    <t>100.221</t>
  </si>
  <si>
    <t>302.0</t>
  </si>
  <si>
    <t>13302</t>
  </si>
  <si>
    <t>39.9455</t>
  </si>
  <si>
    <t>-1.15</t>
  </si>
  <si>
    <t>44.8344</t>
  </si>
  <si>
    <t>41.4104</t>
  </si>
  <si>
    <t>3.32478</t>
  </si>
  <si>
    <t>41.4068</t>
  </si>
  <si>
    <t>100.210</t>
  </si>
  <si>
    <t>305.1</t>
  </si>
  <si>
    <t>13677</t>
  </si>
  <si>
    <t>41.0716</t>
  </si>
  <si>
    <t>3.307</t>
  </si>
  <si>
    <t>44.5551</t>
  </si>
  <si>
    <t>40.9183</t>
  </si>
  <si>
    <t>3.30611</t>
  </si>
  <si>
    <t>40.9178</t>
  </si>
  <si>
    <t>13495</t>
  </si>
  <si>
    <t>40.5250</t>
  </si>
  <si>
    <t>-0.96</t>
  </si>
  <si>
    <t>44.7730</t>
  </si>
  <si>
    <t>41.0694</t>
  </si>
  <si>
    <t>3.30225</t>
  </si>
  <si>
    <t>41.0699</t>
  </si>
  <si>
    <t>303.8</t>
  </si>
  <si>
    <t>13600</t>
  </si>
  <si>
    <t>40.8403</t>
  </si>
  <si>
    <t>-0.56</t>
  </si>
  <si>
    <t>44.8031</t>
  </si>
  <si>
    <t>41.2224</t>
  </si>
  <si>
    <t>3.31233</t>
  </si>
  <si>
    <t>41.2229</t>
  </si>
  <si>
    <t>20.53</t>
  </si>
  <si>
    <t>303.6</t>
  </si>
  <si>
    <t>13601</t>
  </si>
  <si>
    <t>40.8433</t>
  </si>
  <si>
    <t>-0.92</t>
  </si>
  <si>
    <t>外观与标识：</t>
    <phoneticPr fontId="3" type="noConversion"/>
  </si>
  <si>
    <r>
      <t>12B170077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YB12813840</t>
    </r>
    <phoneticPr fontId="3" type="noConversion"/>
  </si>
  <si>
    <t>(100-101)kPa</t>
    <phoneticPr fontId="3" type="noConversion"/>
  </si>
  <si>
    <t>备注</t>
    <phoneticPr fontId="3" type="noConversion"/>
  </si>
  <si>
    <t>/</t>
    <phoneticPr fontId="3" type="noConversion"/>
  </si>
  <si>
    <r>
      <t>6</t>
    </r>
    <r>
      <rPr>
        <sz val="12"/>
        <rFont val="宋体"/>
        <family val="3"/>
        <charset val="134"/>
      </rPr>
      <t>.4</t>
    </r>
    <phoneticPr fontId="10" type="noConversion"/>
  </si>
  <si>
    <r>
      <t>12B170077</t>
    </r>
    <r>
      <rPr>
        <sz val="12"/>
        <rFont val="宋体"/>
        <family val="3"/>
        <charset val="134"/>
      </rPr>
      <t/>
    </r>
    <phoneticPr fontId="3" type="noConversion"/>
  </si>
  <si>
    <t>贮存环境、
电磁兼容后复测</t>
    <phoneticPr fontId="3" type="noConversion"/>
  </si>
  <si>
    <t>2026010021</t>
  </si>
  <si>
    <t xml:space="preserve"> ( 3.2～32.0 )m^3/h</t>
  </si>
  <si>
    <t>21.01℃</t>
  </si>
  <si>
    <t>101.432kPa</t>
  </si>
  <si>
    <t>3.309</t>
  </si>
  <si>
    <t>59.0587</t>
  </si>
  <si>
    <t>54.2415</t>
  </si>
  <si>
    <t>3.30678</t>
  </si>
  <si>
    <t>54.2484</t>
  </si>
  <si>
    <t>101.432</t>
  </si>
  <si>
    <t>21.01</t>
  </si>
  <si>
    <t>301.4</t>
  </si>
  <si>
    <t>17802</t>
  </si>
  <si>
    <t>53.4588</t>
  </si>
  <si>
    <t>-1.46</t>
  </si>
  <si>
    <t>-1.42</t>
  </si>
  <si>
    <t>0.05</t>
  </si>
  <si>
    <t>58.8410</t>
  </si>
  <si>
    <t>54.0970</t>
  </si>
  <si>
    <t>3.31111</t>
  </si>
  <si>
    <t>54.1191</t>
  </si>
  <si>
    <t>101.433</t>
  </si>
  <si>
    <t>21.02</t>
  </si>
  <si>
    <t>301.9</t>
  </si>
  <si>
    <t>17766</t>
  </si>
  <si>
    <t>53.3507</t>
  </si>
  <si>
    <t>59.6074</t>
  </si>
  <si>
    <t>54.7685</t>
  </si>
  <si>
    <t>3.30945</t>
  </si>
  <si>
    <t>54.7966</t>
  </si>
  <si>
    <t>101.423</t>
  </si>
  <si>
    <t>21.03</t>
  </si>
  <si>
    <t>17998</t>
  </si>
  <si>
    <t>54.0474</t>
  </si>
  <si>
    <t>-1.37</t>
  </si>
  <si>
    <r>
      <t>JJG 1029-2007</t>
    </r>
    <r>
      <rPr>
        <sz val="12"/>
        <rFont val="宋体"/>
        <family val="3"/>
        <charset val="134"/>
      </rPr>
      <t>附录</t>
    </r>
    <r>
      <rPr>
        <sz val="12"/>
        <rFont val="Arial"/>
        <family val="2"/>
      </rPr>
      <t>A</t>
    </r>
    <phoneticPr fontId="3" type="noConversion"/>
  </si>
  <si>
    <t>2026E70-40-000029</t>
    <phoneticPr fontId="2" type="noConversion"/>
  </si>
  <si>
    <t>检测日期：</t>
    <phoneticPr fontId="2" type="noConversion"/>
  </si>
  <si>
    <t>2026.09.01 09:00~2026.09.01 16:00</t>
    <phoneticPr fontId="2" type="noConversion"/>
  </si>
  <si>
    <t>2026.11.03 09:00~2026.11.03 16:00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</si>
</sst>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00_ "/>
    <numFmt numFmtId="177" formatCode="0.00_ "/>
    <numFmt numFmtId="178" formatCode="0_ "/>
    <numFmt numFmtId="179" formatCode="0.0_ "/>
  </numFmts>
  <fonts count="12" x14ac:knownFonts="1">
    <font>
      <sz val="12"/>
      <name val="宋体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6"/>
      <name val="宋体"/>
      <family val="3"/>
      <charset val="134"/>
    </font>
    <font>
      <i/>
      <sz val="12"/>
      <name val="Arial"/>
      <family val="2"/>
    </font>
    <font>
      <vertAlign val="subscript"/>
      <sz val="12"/>
      <name val="Arial"/>
      <family val="2"/>
    </font>
    <font>
      <sz val="9"/>
      <name val="宋体"/>
      <family val="3"/>
      <charset val="134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quotePrefix="1" applyNumberFormat="1"/>
    <xf numFmtId="179" fontId="4" fillId="0" borderId="0" xfId="0" applyNumberFormat="1" applyFont="1" applyAlignment="1">
      <alignment horizontal="center" vertical="center"/>
    </xf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quotePrefix="1" applyNumberFormat="1" applyFont="1"/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  <xf numFmtId="177" fontId="4" fillId="0" borderId="12" xfId="0" applyNumberFormat="1" applyFont="1" applyBorder="1" applyAlignment="1">
      <alignment horizontal="center"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177" fontId="4" fillId="0" borderId="5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79" fontId="4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right"/>
    </xf>
    <xf numFmtId="0" fontId="6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11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showOutlineSymbols="0" workbookViewId="0">
      <selection activeCell="A28" sqref="A28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7" ht="16.5" customHeight="1" x14ac:dyDescent="0.15">
      <c r="A1" s="6" t="s">
        <v>114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14.25" customHeight="1" x14ac:dyDescent="0.15">
      <c r="A2" s="6" t="s">
        <v>0</v>
      </c>
      <c r="B2" s="6" t="s">
        <v>1</v>
      </c>
      <c r="C2" s="23"/>
      <c r="D2" s="23"/>
      <c r="E2" s="23"/>
      <c r="F2" s="23"/>
      <c r="G2" s="6" t="s">
        <v>2</v>
      </c>
      <c r="H2" s="6" t="s">
        <v>115</v>
      </c>
      <c r="I2" s="23"/>
      <c r="J2" s="23"/>
      <c r="K2" s="23"/>
      <c r="L2" s="23"/>
      <c r="M2" s="23"/>
      <c r="N2" s="23"/>
      <c r="O2" s="6" t="s">
        <v>3</v>
      </c>
      <c r="P2" s="6" t="s">
        <v>116</v>
      </c>
      <c r="Q2" s="23"/>
    </row>
    <row r="3" spans="1:17" ht="14.25" customHeight="1" x14ac:dyDescent="0.15">
      <c r="A3" s="6" t="s">
        <v>4</v>
      </c>
      <c r="B3" s="6" t="s">
        <v>117</v>
      </c>
      <c r="C3" s="23"/>
      <c r="D3" s="23"/>
      <c r="E3" s="23"/>
      <c r="F3" s="23"/>
      <c r="G3" s="6" t="s">
        <v>5</v>
      </c>
      <c r="H3" s="6" t="s">
        <v>118</v>
      </c>
      <c r="I3" s="23"/>
      <c r="J3" s="23"/>
      <c r="K3" s="23"/>
      <c r="L3" s="23"/>
      <c r="M3" s="23"/>
      <c r="N3" s="23"/>
      <c r="O3" s="6" t="s">
        <v>6</v>
      </c>
      <c r="P3" s="6" t="s">
        <v>7</v>
      </c>
      <c r="Q3" s="23"/>
    </row>
    <row r="4" spans="1:17" ht="14.25" customHeight="1" x14ac:dyDescent="0.15">
      <c r="A4" s="6" t="s">
        <v>8</v>
      </c>
      <c r="B4" s="6" t="s">
        <v>119</v>
      </c>
      <c r="C4" s="23"/>
      <c r="D4" s="23"/>
      <c r="E4" s="23"/>
      <c r="F4" s="23"/>
      <c r="G4" s="6" t="s">
        <v>9</v>
      </c>
      <c r="H4" s="6" t="s">
        <v>120</v>
      </c>
      <c r="I4" s="23"/>
      <c r="J4" s="23"/>
      <c r="K4" s="23"/>
      <c r="L4" s="23"/>
      <c r="M4" s="23"/>
      <c r="N4" s="23"/>
      <c r="O4" s="6" t="s">
        <v>10</v>
      </c>
      <c r="P4" s="6" t="s">
        <v>11</v>
      </c>
      <c r="Q4" s="23"/>
    </row>
    <row r="5" spans="1:17" ht="14.25" customHeight="1" x14ac:dyDescent="0.15">
      <c r="A5" s="6" t="s">
        <v>12</v>
      </c>
      <c r="B5" s="6" t="s">
        <v>121</v>
      </c>
      <c r="C5" s="23"/>
      <c r="D5" s="23"/>
      <c r="E5" s="23"/>
      <c r="F5" s="23"/>
      <c r="G5" s="6" t="s">
        <v>13</v>
      </c>
      <c r="H5" s="6" t="s">
        <v>122</v>
      </c>
      <c r="I5" s="23"/>
      <c r="J5" s="23"/>
      <c r="K5" s="23"/>
      <c r="L5" s="23"/>
      <c r="M5" s="23"/>
      <c r="N5" s="23"/>
      <c r="O5" s="6" t="s">
        <v>14</v>
      </c>
      <c r="P5" s="6" t="s">
        <v>15</v>
      </c>
      <c r="Q5" s="6" t="s">
        <v>16</v>
      </c>
    </row>
    <row r="6" spans="1:17" ht="14.25" customHeight="1" x14ac:dyDescent="0.15">
      <c r="A6" s="6" t="s">
        <v>17</v>
      </c>
      <c r="B6" s="6" t="s">
        <v>18</v>
      </c>
      <c r="C6" s="23"/>
      <c r="D6" s="6" t="s">
        <v>19</v>
      </c>
      <c r="E6" s="6" t="s">
        <v>123</v>
      </c>
      <c r="F6" s="23"/>
      <c r="G6" s="23"/>
      <c r="H6" s="23"/>
      <c r="I6" s="23"/>
      <c r="J6" s="23"/>
      <c r="K6" s="23"/>
      <c r="L6" s="23"/>
      <c r="M6" s="23"/>
      <c r="N6" s="23"/>
      <c r="O6" s="6" t="s">
        <v>20</v>
      </c>
      <c r="P6" s="6" t="s">
        <v>124</v>
      </c>
      <c r="Q6" s="6" t="s">
        <v>125</v>
      </c>
    </row>
    <row r="7" spans="1:17" ht="14.25" customHeight="1" x14ac:dyDescent="0.15">
      <c r="A7" s="6" t="s">
        <v>21</v>
      </c>
      <c r="B7" s="6" t="s">
        <v>22</v>
      </c>
      <c r="C7" s="23"/>
      <c r="D7" s="6" t="s">
        <v>23</v>
      </c>
      <c r="E7" s="6" t="s">
        <v>1</v>
      </c>
      <c r="F7" s="23"/>
      <c r="G7" s="23"/>
      <c r="H7" s="23"/>
      <c r="I7" s="23"/>
      <c r="J7" s="23"/>
      <c r="K7" s="23"/>
      <c r="L7" s="23"/>
      <c r="M7" s="23"/>
      <c r="N7" s="23"/>
      <c r="O7" s="6" t="s">
        <v>24</v>
      </c>
      <c r="P7" s="6" t="s">
        <v>126</v>
      </c>
      <c r="Q7" s="6" t="s">
        <v>127</v>
      </c>
    </row>
    <row r="8" spans="1:17" ht="14.25" customHeight="1" x14ac:dyDescent="0.15">
      <c r="A8" s="6" t="s">
        <v>25</v>
      </c>
      <c r="B8" s="6" t="s">
        <v>128</v>
      </c>
      <c r="C8" s="23"/>
      <c r="D8" s="6" t="s">
        <v>26</v>
      </c>
      <c r="E8" s="6" t="s">
        <v>129</v>
      </c>
      <c r="F8" s="23"/>
      <c r="G8" s="6" t="s">
        <v>27</v>
      </c>
      <c r="H8" s="6" t="s">
        <v>117</v>
      </c>
      <c r="I8" s="23"/>
      <c r="J8" s="23"/>
      <c r="K8" s="23"/>
      <c r="L8" s="23"/>
      <c r="M8" s="23"/>
      <c r="N8" s="23"/>
      <c r="O8" s="23"/>
      <c r="P8" s="23"/>
      <c r="Q8" s="23"/>
    </row>
    <row r="9" spans="1:17" ht="14.25" customHeight="1" x14ac:dyDescent="0.15">
      <c r="A9" s="6" t="s">
        <v>28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6" t="s">
        <v>29</v>
      </c>
      <c r="P9" s="6" t="s">
        <v>130</v>
      </c>
      <c r="Q9" s="23"/>
    </row>
    <row r="10" spans="1:17" ht="14.25" customHeight="1" x14ac:dyDescent="0.1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</row>
    <row r="11" spans="1:17" ht="14.25" customHeight="1" x14ac:dyDescent="0.1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</row>
    <row r="12" spans="1:17" ht="14.25" customHeight="1" x14ac:dyDescent="0.15">
      <c r="A12" s="6" t="s">
        <v>30</v>
      </c>
      <c r="B12" s="6" t="s">
        <v>31</v>
      </c>
      <c r="C12" s="6" t="s">
        <v>30</v>
      </c>
      <c r="D12" s="6" t="s">
        <v>32</v>
      </c>
      <c r="E12" s="6" t="s">
        <v>33</v>
      </c>
      <c r="F12" s="6" t="s">
        <v>33</v>
      </c>
      <c r="G12" s="6" t="s">
        <v>34</v>
      </c>
      <c r="H12" s="6" t="s">
        <v>34</v>
      </c>
      <c r="I12" s="23"/>
      <c r="J12" s="23"/>
      <c r="K12" s="23"/>
      <c r="L12" s="6" t="s">
        <v>35</v>
      </c>
      <c r="M12" s="6" t="s">
        <v>36</v>
      </c>
      <c r="N12" s="6" t="s">
        <v>37</v>
      </c>
      <c r="O12" s="6" t="s">
        <v>20</v>
      </c>
      <c r="P12" s="6" t="s">
        <v>20</v>
      </c>
      <c r="Q12" s="6" t="s">
        <v>38</v>
      </c>
    </row>
    <row r="13" spans="1:17" ht="14.25" customHeight="1" x14ac:dyDescent="0.15">
      <c r="A13" s="6" t="s">
        <v>39</v>
      </c>
      <c r="B13" s="23"/>
      <c r="C13" s="6" t="s">
        <v>40</v>
      </c>
      <c r="D13" s="6" t="s">
        <v>41</v>
      </c>
      <c r="E13" s="6" t="s">
        <v>42</v>
      </c>
      <c r="F13" s="6" t="s">
        <v>43</v>
      </c>
      <c r="G13" s="6" t="s">
        <v>44</v>
      </c>
      <c r="H13" s="6" t="s">
        <v>45</v>
      </c>
      <c r="I13" s="23"/>
      <c r="J13" s="23"/>
      <c r="K13" s="23"/>
      <c r="L13" s="23"/>
      <c r="M13" s="6" t="s">
        <v>46</v>
      </c>
      <c r="N13" s="23"/>
      <c r="O13" s="23"/>
      <c r="P13" s="23"/>
      <c r="Q13" s="23"/>
    </row>
    <row r="14" spans="1:17" ht="14.25" customHeight="1" x14ac:dyDescent="0.15">
      <c r="A14" s="6" t="s">
        <v>47</v>
      </c>
      <c r="B14" s="23"/>
      <c r="C14" s="6" t="s">
        <v>48</v>
      </c>
      <c r="D14" s="6" t="s">
        <v>49</v>
      </c>
      <c r="E14" s="6" t="s">
        <v>47</v>
      </c>
      <c r="F14" s="6" t="s">
        <v>49</v>
      </c>
      <c r="G14" s="6" t="s">
        <v>50</v>
      </c>
      <c r="H14" s="6" t="s">
        <v>51</v>
      </c>
      <c r="I14" s="23"/>
      <c r="J14" s="23"/>
      <c r="K14" s="23"/>
      <c r="L14" s="6" t="s">
        <v>52</v>
      </c>
      <c r="M14" s="6" t="s">
        <v>53</v>
      </c>
      <c r="N14" s="6" t="s">
        <v>49</v>
      </c>
      <c r="O14" s="6" t="s">
        <v>54</v>
      </c>
      <c r="P14" s="6" t="s">
        <v>54</v>
      </c>
      <c r="Q14" s="6" t="s">
        <v>54</v>
      </c>
    </row>
    <row r="15" spans="1:17" ht="14.25" customHeight="1" x14ac:dyDescent="0.15">
      <c r="A15" s="6" t="s">
        <v>131</v>
      </c>
      <c r="B15" s="6" t="s">
        <v>55</v>
      </c>
      <c r="C15" s="6" t="s">
        <v>132</v>
      </c>
      <c r="D15" s="6" t="s">
        <v>133</v>
      </c>
      <c r="E15" s="6" t="s">
        <v>134</v>
      </c>
      <c r="F15" s="6" t="s">
        <v>135</v>
      </c>
      <c r="G15" s="6" t="s">
        <v>136</v>
      </c>
      <c r="H15" s="6" t="s">
        <v>63</v>
      </c>
      <c r="I15" s="23"/>
      <c r="J15" s="23"/>
      <c r="K15" s="23"/>
      <c r="L15" s="6" t="s">
        <v>137</v>
      </c>
      <c r="M15" s="6" t="s">
        <v>138</v>
      </c>
      <c r="N15" s="6" t="s">
        <v>139</v>
      </c>
      <c r="O15" s="6" t="s">
        <v>140</v>
      </c>
      <c r="P15" s="6" t="s">
        <v>141</v>
      </c>
      <c r="Q15" s="6" t="s">
        <v>142</v>
      </c>
    </row>
    <row r="16" spans="1:17" ht="14.25" customHeight="1" x14ac:dyDescent="0.15">
      <c r="A16" s="23"/>
      <c r="B16" s="6" t="s">
        <v>59</v>
      </c>
      <c r="C16" s="6" t="s">
        <v>143</v>
      </c>
      <c r="D16" s="6" t="s">
        <v>144</v>
      </c>
      <c r="E16" s="6" t="s">
        <v>145</v>
      </c>
      <c r="F16" s="6" t="s">
        <v>146</v>
      </c>
      <c r="G16" s="6" t="s">
        <v>147</v>
      </c>
      <c r="H16" s="6" t="s">
        <v>61</v>
      </c>
      <c r="I16" s="23"/>
      <c r="J16" s="23"/>
      <c r="K16" s="23"/>
      <c r="L16" s="6" t="s">
        <v>148</v>
      </c>
      <c r="M16" s="6" t="s">
        <v>149</v>
      </c>
      <c r="N16" s="6" t="s">
        <v>150</v>
      </c>
      <c r="O16" s="6" t="s">
        <v>62</v>
      </c>
      <c r="P16" s="23"/>
      <c r="Q16" s="23"/>
    </row>
    <row r="17" spans="1:17" ht="14.25" customHeight="1" x14ac:dyDescent="0.15">
      <c r="A17" s="23"/>
      <c r="B17" s="6" t="s">
        <v>60</v>
      </c>
      <c r="C17" s="6" t="s">
        <v>151</v>
      </c>
      <c r="D17" s="6" t="s">
        <v>152</v>
      </c>
      <c r="E17" s="6" t="s">
        <v>153</v>
      </c>
      <c r="F17" s="6" t="s">
        <v>154</v>
      </c>
      <c r="G17" s="6" t="s">
        <v>147</v>
      </c>
      <c r="H17" s="6" t="s">
        <v>56</v>
      </c>
      <c r="I17" s="23"/>
      <c r="J17" s="23"/>
      <c r="K17" s="23"/>
      <c r="L17" s="6" t="s">
        <v>155</v>
      </c>
      <c r="M17" s="6" t="s">
        <v>156</v>
      </c>
      <c r="N17" s="6" t="s">
        <v>157</v>
      </c>
      <c r="O17" s="6" t="s">
        <v>57</v>
      </c>
      <c r="P17" s="23"/>
      <c r="Q17" s="23"/>
    </row>
    <row r="18" spans="1:17" ht="14.25" customHeight="1" x14ac:dyDescent="0.15">
      <c r="A18" s="6" t="s">
        <v>158</v>
      </c>
      <c r="B18" s="6" t="s">
        <v>55</v>
      </c>
      <c r="C18" s="6" t="s">
        <v>159</v>
      </c>
      <c r="D18" s="6" t="s">
        <v>160</v>
      </c>
      <c r="E18" s="6" t="s">
        <v>161</v>
      </c>
      <c r="F18" s="6" t="s">
        <v>162</v>
      </c>
      <c r="G18" s="6" t="s">
        <v>163</v>
      </c>
      <c r="H18" s="6" t="s">
        <v>164</v>
      </c>
      <c r="I18" s="23"/>
      <c r="J18" s="23"/>
      <c r="K18" s="23"/>
      <c r="L18" s="6" t="s">
        <v>165</v>
      </c>
      <c r="M18" s="6" t="s">
        <v>166</v>
      </c>
      <c r="N18" s="6" t="s">
        <v>167</v>
      </c>
      <c r="O18" s="6" t="s">
        <v>66</v>
      </c>
      <c r="P18" s="6" t="s">
        <v>141</v>
      </c>
      <c r="Q18" s="6" t="s">
        <v>168</v>
      </c>
    </row>
    <row r="19" spans="1:17" x14ac:dyDescent="0.15">
      <c r="A19" s="23"/>
      <c r="B19" s="6" t="s">
        <v>59</v>
      </c>
      <c r="C19" s="6" t="s">
        <v>169</v>
      </c>
      <c r="D19" s="6" t="s">
        <v>170</v>
      </c>
      <c r="E19" s="6" t="s">
        <v>171</v>
      </c>
      <c r="F19" s="6" t="s">
        <v>172</v>
      </c>
      <c r="G19" s="6" t="s">
        <v>173</v>
      </c>
      <c r="H19" s="6" t="s">
        <v>174</v>
      </c>
      <c r="I19" s="23"/>
      <c r="J19" s="23"/>
      <c r="K19" s="23"/>
      <c r="L19" s="6" t="s">
        <v>175</v>
      </c>
      <c r="M19" s="6" t="s">
        <v>176</v>
      </c>
      <c r="N19" s="6" t="s">
        <v>177</v>
      </c>
      <c r="O19" s="6" t="s">
        <v>178</v>
      </c>
      <c r="P19" s="23"/>
      <c r="Q19" s="23"/>
    </row>
    <row r="20" spans="1:17" x14ac:dyDescent="0.15">
      <c r="A20" s="23"/>
      <c r="B20" s="6" t="s">
        <v>60</v>
      </c>
      <c r="C20" s="6" t="s">
        <v>179</v>
      </c>
      <c r="D20" s="6" t="s">
        <v>180</v>
      </c>
      <c r="E20" s="6" t="s">
        <v>181</v>
      </c>
      <c r="F20" s="6" t="s">
        <v>182</v>
      </c>
      <c r="G20" s="6" t="s">
        <v>183</v>
      </c>
      <c r="H20" s="6" t="s">
        <v>184</v>
      </c>
      <c r="I20" s="23"/>
      <c r="J20" s="23"/>
      <c r="K20" s="23"/>
      <c r="L20" s="6" t="s">
        <v>185</v>
      </c>
      <c r="M20" s="6" t="s">
        <v>186</v>
      </c>
      <c r="N20" s="6" t="s">
        <v>187</v>
      </c>
      <c r="O20" s="6" t="s">
        <v>66</v>
      </c>
      <c r="P20" s="23"/>
      <c r="Q20" s="23"/>
    </row>
    <row r="21" spans="1:17" x14ac:dyDescent="0.15">
      <c r="A21" s="6" t="s">
        <v>188</v>
      </c>
      <c r="B21" s="6" t="s">
        <v>55</v>
      </c>
      <c r="C21" s="6" t="s">
        <v>189</v>
      </c>
      <c r="D21" s="6" t="s">
        <v>190</v>
      </c>
      <c r="E21" s="6" t="s">
        <v>191</v>
      </c>
      <c r="F21" s="6" t="s">
        <v>192</v>
      </c>
      <c r="G21" s="6" t="s">
        <v>193</v>
      </c>
      <c r="H21" s="6" t="s">
        <v>194</v>
      </c>
      <c r="I21" s="23"/>
      <c r="J21" s="23"/>
      <c r="K21" s="23"/>
      <c r="L21" s="6" t="s">
        <v>195</v>
      </c>
      <c r="M21" s="6" t="s">
        <v>196</v>
      </c>
      <c r="N21" s="6" t="s">
        <v>197</v>
      </c>
      <c r="O21" s="6" t="s">
        <v>198</v>
      </c>
      <c r="P21" s="6" t="s">
        <v>199</v>
      </c>
      <c r="Q21" s="6" t="s">
        <v>200</v>
      </c>
    </row>
    <row r="22" spans="1:17" x14ac:dyDescent="0.15">
      <c r="A22" s="23"/>
      <c r="B22" s="6" t="s">
        <v>59</v>
      </c>
      <c r="C22" s="6" t="s">
        <v>201</v>
      </c>
      <c r="D22" s="6" t="s">
        <v>202</v>
      </c>
      <c r="E22" s="6" t="s">
        <v>203</v>
      </c>
      <c r="F22" s="6" t="s">
        <v>204</v>
      </c>
      <c r="G22" s="6" t="s">
        <v>205</v>
      </c>
      <c r="H22" s="6" t="s">
        <v>206</v>
      </c>
      <c r="I22" s="23"/>
      <c r="J22" s="23"/>
      <c r="K22" s="23"/>
      <c r="L22" s="6" t="s">
        <v>207</v>
      </c>
      <c r="M22" s="6" t="s">
        <v>208</v>
      </c>
      <c r="N22" s="6" t="s">
        <v>209</v>
      </c>
      <c r="O22" s="6" t="s">
        <v>210</v>
      </c>
      <c r="P22" s="23"/>
      <c r="Q22" s="23"/>
    </row>
    <row r="23" spans="1:17" x14ac:dyDescent="0.15">
      <c r="A23" s="23"/>
      <c r="B23" s="6" t="s">
        <v>60</v>
      </c>
      <c r="C23" s="6" t="s">
        <v>211</v>
      </c>
      <c r="D23" s="6" t="s">
        <v>212</v>
      </c>
      <c r="E23" s="6" t="s">
        <v>213</v>
      </c>
      <c r="F23" s="6" t="s">
        <v>214</v>
      </c>
      <c r="G23" s="6" t="s">
        <v>215</v>
      </c>
      <c r="H23" s="6" t="s">
        <v>216</v>
      </c>
      <c r="I23" s="23"/>
      <c r="J23" s="23"/>
      <c r="K23" s="23"/>
      <c r="L23" s="6" t="s">
        <v>217</v>
      </c>
      <c r="M23" s="6" t="s">
        <v>218</v>
      </c>
      <c r="N23" s="6" t="s">
        <v>219</v>
      </c>
      <c r="O23" s="6" t="s">
        <v>220</v>
      </c>
      <c r="P23" s="23"/>
      <c r="Q23" s="23"/>
    </row>
    <row r="24" spans="1:17" x14ac:dyDescent="0.15">
      <c r="A24" s="6" t="s">
        <v>221</v>
      </c>
      <c r="B24" s="6" t="s">
        <v>55</v>
      </c>
      <c r="C24" s="6" t="s">
        <v>222</v>
      </c>
      <c r="D24" s="6" t="s">
        <v>223</v>
      </c>
      <c r="E24" s="6" t="s">
        <v>224</v>
      </c>
      <c r="F24" s="6" t="s">
        <v>225</v>
      </c>
      <c r="G24" s="6" t="s">
        <v>226</v>
      </c>
      <c r="H24" s="6" t="s">
        <v>227</v>
      </c>
      <c r="I24" s="23"/>
      <c r="J24" s="23"/>
      <c r="K24" s="23"/>
      <c r="L24" s="6" t="s">
        <v>228</v>
      </c>
      <c r="M24" s="6" t="s">
        <v>229</v>
      </c>
      <c r="N24" s="6" t="s">
        <v>230</v>
      </c>
      <c r="O24" s="6" t="s">
        <v>231</v>
      </c>
      <c r="P24" s="6" t="s">
        <v>232</v>
      </c>
      <c r="Q24" s="6" t="s">
        <v>58</v>
      </c>
    </row>
    <row r="25" spans="1:17" x14ac:dyDescent="0.15">
      <c r="A25" s="23"/>
      <c r="B25" s="6" t="s">
        <v>59</v>
      </c>
      <c r="C25" s="6" t="s">
        <v>233</v>
      </c>
      <c r="D25" s="6" t="s">
        <v>234</v>
      </c>
      <c r="E25" s="6" t="s">
        <v>235</v>
      </c>
      <c r="F25" s="6" t="s">
        <v>236</v>
      </c>
      <c r="G25" s="6" t="s">
        <v>226</v>
      </c>
      <c r="H25" s="6" t="s">
        <v>237</v>
      </c>
      <c r="I25" s="23"/>
      <c r="J25" s="23"/>
      <c r="K25" s="23"/>
      <c r="L25" s="6" t="s">
        <v>238</v>
      </c>
      <c r="M25" s="6" t="s">
        <v>239</v>
      </c>
      <c r="N25" s="6" t="s">
        <v>240</v>
      </c>
      <c r="O25" s="6" t="s">
        <v>241</v>
      </c>
      <c r="P25" s="23"/>
      <c r="Q25" s="23"/>
    </row>
    <row r="26" spans="1:17" x14ac:dyDescent="0.15">
      <c r="A26" s="23"/>
      <c r="B26" s="6" t="s">
        <v>60</v>
      </c>
      <c r="C26" s="6" t="s">
        <v>242</v>
      </c>
      <c r="D26" s="6" t="s">
        <v>243</v>
      </c>
      <c r="E26" s="6" t="s">
        <v>244</v>
      </c>
      <c r="F26" s="6" t="s">
        <v>245</v>
      </c>
      <c r="G26" s="6" t="s">
        <v>246</v>
      </c>
      <c r="H26" s="6" t="s">
        <v>247</v>
      </c>
      <c r="I26" s="23"/>
      <c r="J26" s="23"/>
      <c r="K26" s="23"/>
      <c r="L26" s="6" t="s">
        <v>248</v>
      </c>
      <c r="M26" s="6" t="s">
        <v>249</v>
      </c>
      <c r="N26" s="6" t="s">
        <v>250</v>
      </c>
      <c r="O26" s="6" t="s">
        <v>251</v>
      </c>
      <c r="P26" s="23"/>
      <c r="Q26" s="23"/>
    </row>
    <row r="27" spans="1:17" x14ac:dyDescent="0.15">
      <c r="A27" s="17" t="s">
        <v>368</v>
      </c>
      <c r="B27" s="6" t="s">
        <v>55</v>
      </c>
      <c r="C27" s="6" t="s">
        <v>252</v>
      </c>
      <c r="D27" s="6" t="s">
        <v>253</v>
      </c>
      <c r="E27" s="6" t="s">
        <v>254</v>
      </c>
      <c r="F27" s="6" t="s">
        <v>255</v>
      </c>
      <c r="G27" s="6" t="s">
        <v>256</v>
      </c>
      <c r="H27" s="6" t="s">
        <v>257</v>
      </c>
      <c r="I27" s="23"/>
      <c r="J27" s="23"/>
      <c r="K27" s="23"/>
      <c r="L27" s="6" t="s">
        <v>258</v>
      </c>
      <c r="M27" s="6" t="s">
        <v>259</v>
      </c>
      <c r="N27" s="6" t="s">
        <v>260</v>
      </c>
      <c r="O27" s="6" t="s">
        <v>261</v>
      </c>
      <c r="P27" s="6" t="s">
        <v>262</v>
      </c>
      <c r="Q27" s="6" t="s">
        <v>64</v>
      </c>
    </row>
    <row r="28" spans="1:17" x14ac:dyDescent="0.15">
      <c r="A28" s="23"/>
      <c r="B28" s="6" t="s">
        <v>59</v>
      </c>
      <c r="C28" s="6" t="s">
        <v>263</v>
      </c>
      <c r="D28" s="6" t="s">
        <v>264</v>
      </c>
      <c r="E28" s="6" t="s">
        <v>265</v>
      </c>
      <c r="F28" s="6" t="s">
        <v>266</v>
      </c>
      <c r="G28" s="6" t="s">
        <v>267</v>
      </c>
      <c r="H28" s="6" t="s">
        <v>247</v>
      </c>
      <c r="I28" s="23"/>
      <c r="J28" s="23"/>
      <c r="K28" s="23"/>
      <c r="L28" s="6" t="s">
        <v>268</v>
      </c>
      <c r="M28" s="6" t="s">
        <v>269</v>
      </c>
      <c r="N28" s="6" t="s">
        <v>270</v>
      </c>
      <c r="O28" s="6" t="s">
        <v>271</v>
      </c>
      <c r="P28" s="23"/>
      <c r="Q28" s="23"/>
    </row>
    <row r="29" spans="1:17" x14ac:dyDescent="0.15">
      <c r="A29" s="23"/>
      <c r="B29" s="6" t="s">
        <v>60</v>
      </c>
      <c r="C29" s="6" t="s">
        <v>272</v>
      </c>
      <c r="D29" s="6" t="s">
        <v>273</v>
      </c>
      <c r="E29" s="6" t="s">
        <v>274</v>
      </c>
      <c r="F29" s="6" t="s">
        <v>275</v>
      </c>
      <c r="G29" s="6" t="s">
        <v>276</v>
      </c>
      <c r="H29" s="6" t="s">
        <v>257</v>
      </c>
      <c r="I29" s="23"/>
      <c r="J29" s="23"/>
      <c r="K29" s="23"/>
      <c r="L29" s="6" t="s">
        <v>277</v>
      </c>
      <c r="M29" s="6" t="s">
        <v>278</v>
      </c>
      <c r="N29" s="6" t="s">
        <v>279</v>
      </c>
      <c r="O29" s="6" t="s">
        <v>280</v>
      </c>
      <c r="P29" s="23"/>
      <c r="Q29" s="23"/>
    </row>
    <row r="30" spans="1:17" x14ac:dyDescent="0.15">
      <c r="A30" s="6" t="s">
        <v>281</v>
      </c>
      <c r="B30" s="6" t="s">
        <v>55</v>
      </c>
      <c r="C30" s="6" t="s">
        <v>282</v>
      </c>
      <c r="D30" s="6" t="s">
        <v>283</v>
      </c>
      <c r="E30" s="6" t="s">
        <v>284</v>
      </c>
      <c r="F30" s="6" t="s">
        <v>285</v>
      </c>
      <c r="G30" s="6" t="s">
        <v>286</v>
      </c>
      <c r="H30" s="6" t="s">
        <v>257</v>
      </c>
      <c r="I30" s="23"/>
      <c r="J30" s="23"/>
      <c r="K30" s="23"/>
      <c r="L30" s="6" t="s">
        <v>287</v>
      </c>
      <c r="M30" s="6" t="s">
        <v>288</v>
      </c>
      <c r="N30" s="6" t="s">
        <v>289</v>
      </c>
      <c r="O30" s="6" t="s">
        <v>290</v>
      </c>
      <c r="P30" s="6" t="s">
        <v>291</v>
      </c>
      <c r="Q30" s="6" t="s">
        <v>292</v>
      </c>
    </row>
    <row r="31" spans="1:17" x14ac:dyDescent="0.15">
      <c r="A31" s="23"/>
      <c r="B31" s="6" t="s">
        <v>59</v>
      </c>
      <c r="C31" s="6" t="s">
        <v>293</v>
      </c>
      <c r="D31" s="6" t="s">
        <v>294</v>
      </c>
      <c r="E31" s="6" t="s">
        <v>295</v>
      </c>
      <c r="F31" s="6" t="s">
        <v>296</v>
      </c>
      <c r="G31" s="6" t="s">
        <v>297</v>
      </c>
      <c r="H31" s="6" t="s">
        <v>257</v>
      </c>
      <c r="I31" s="23"/>
      <c r="J31" s="23"/>
      <c r="K31" s="23"/>
      <c r="L31" s="6" t="s">
        <v>298</v>
      </c>
      <c r="M31" s="6" t="s">
        <v>299</v>
      </c>
      <c r="N31" s="6" t="s">
        <v>300</v>
      </c>
      <c r="O31" s="6" t="s">
        <v>301</v>
      </c>
      <c r="P31" s="23"/>
      <c r="Q31" s="23"/>
    </row>
    <row r="32" spans="1:17" x14ac:dyDescent="0.15">
      <c r="A32" s="23"/>
      <c r="B32" s="6" t="s">
        <v>60</v>
      </c>
      <c r="C32" s="6" t="s">
        <v>302</v>
      </c>
      <c r="D32" s="6" t="s">
        <v>303</v>
      </c>
      <c r="E32" s="6" t="s">
        <v>304</v>
      </c>
      <c r="F32" s="6" t="s">
        <v>305</v>
      </c>
      <c r="G32" s="6" t="s">
        <v>306</v>
      </c>
      <c r="H32" s="6" t="s">
        <v>257</v>
      </c>
      <c r="I32" s="23"/>
      <c r="J32" s="23"/>
      <c r="K32" s="23"/>
      <c r="L32" s="6" t="s">
        <v>307</v>
      </c>
      <c r="M32" s="6" t="s">
        <v>308</v>
      </c>
      <c r="N32" s="6" t="s">
        <v>309</v>
      </c>
      <c r="O32" s="6" t="s">
        <v>310</v>
      </c>
      <c r="P32" s="23"/>
      <c r="Q32" s="23"/>
    </row>
    <row r="33" spans="1:17" x14ac:dyDescent="0.15">
      <c r="A33" s="6" t="s">
        <v>311</v>
      </c>
      <c r="B33" s="6" t="s">
        <v>55</v>
      </c>
      <c r="C33" s="6" t="s">
        <v>312</v>
      </c>
      <c r="D33" s="6" t="s">
        <v>313</v>
      </c>
      <c r="E33" s="6" t="s">
        <v>314</v>
      </c>
      <c r="F33" s="6" t="s">
        <v>315</v>
      </c>
      <c r="G33" s="6" t="s">
        <v>316</v>
      </c>
      <c r="H33" s="6" t="s">
        <v>257</v>
      </c>
      <c r="I33" s="23"/>
      <c r="J33" s="23"/>
      <c r="K33" s="23"/>
      <c r="L33" s="6" t="s">
        <v>317</v>
      </c>
      <c r="M33" s="6" t="s">
        <v>318</v>
      </c>
      <c r="N33" s="6" t="s">
        <v>319</v>
      </c>
      <c r="O33" s="6" t="s">
        <v>232</v>
      </c>
      <c r="P33" s="6" t="s">
        <v>67</v>
      </c>
      <c r="Q33" s="6" t="s">
        <v>320</v>
      </c>
    </row>
    <row r="34" spans="1:17" x14ac:dyDescent="0.15">
      <c r="A34" s="23"/>
      <c r="B34" s="6" t="s">
        <v>59</v>
      </c>
      <c r="C34" s="6" t="s">
        <v>321</v>
      </c>
      <c r="D34" s="6" t="s">
        <v>322</v>
      </c>
      <c r="E34" s="6" t="s">
        <v>323</v>
      </c>
      <c r="F34" s="6" t="s">
        <v>324</v>
      </c>
      <c r="G34" s="6" t="s">
        <v>325</v>
      </c>
      <c r="H34" s="6" t="s">
        <v>247</v>
      </c>
      <c r="I34" s="23"/>
      <c r="J34" s="23"/>
      <c r="K34" s="23"/>
      <c r="L34" s="6" t="s">
        <v>326</v>
      </c>
      <c r="M34" s="6" t="s">
        <v>327</v>
      </c>
      <c r="N34" s="6" t="s">
        <v>328</v>
      </c>
      <c r="O34" s="6" t="s">
        <v>329</v>
      </c>
      <c r="P34" s="23"/>
      <c r="Q34" s="23"/>
    </row>
    <row r="35" spans="1:17" x14ac:dyDescent="0.15">
      <c r="A35" s="23"/>
      <c r="B35" s="6" t="s">
        <v>60</v>
      </c>
      <c r="C35" s="6" t="s">
        <v>330</v>
      </c>
      <c r="D35" s="6" t="s">
        <v>331</v>
      </c>
      <c r="E35" s="6" t="s">
        <v>332</v>
      </c>
      <c r="F35" s="6" t="s">
        <v>333</v>
      </c>
      <c r="G35" s="6" t="s">
        <v>334</v>
      </c>
      <c r="H35" s="6" t="s">
        <v>237</v>
      </c>
      <c r="I35" s="23"/>
      <c r="J35" s="23"/>
      <c r="K35" s="23"/>
      <c r="L35" s="6" t="s">
        <v>335</v>
      </c>
      <c r="M35" s="6" t="s">
        <v>336</v>
      </c>
      <c r="N35" s="6" t="s">
        <v>337</v>
      </c>
      <c r="O35" s="6" t="s">
        <v>68</v>
      </c>
      <c r="P35" s="23"/>
      <c r="Q35" s="23"/>
    </row>
    <row r="36" spans="1:17" x14ac:dyDescent="0.15">
      <c r="A36" s="6" t="s">
        <v>338</v>
      </c>
      <c r="B36" s="6" t="s">
        <v>55</v>
      </c>
      <c r="C36" s="6" t="s">
        <v>339</v>
      </c>
      <c r="D36" s="6" t="s">
        <v>340</v>
      </c>
      <c r="E36" s="6" t="s">
        <v>341</v>
      </c>
      <c r="F36" s="6" t="s">
        <v>342</v>
      </c>
      <c r="G36" s="6" t="s">
        <v>316</v>
      </c>
      <c r="H36" s="6" t="s">
        <v>206</v>
      </c>
      <c r="I36" s="23"/>
      <c r="J36" s="23"/>
      <c r="K36" s="23"/>
      <c r="L36" s="6" t="s">
        <v>317</v>
      </c>
      <c r="M36" s="6" t="s">
        <v>343</v>
      </c>
      <c r="N36" s="6" t="s">
        <v>344</v>
      </c>
      <c r="O36" s="6" t="s">
        <v>345</v>
      </c>
      <c r="P36" s="6" t="s">
        <v>68</v>
      </c>
      <c r="Q36" s="6" t="s">
        <v>65</v>
      </c>
    </row>
    <row r="37" spans="1:17" x14ac:dyDescent="0.15">
      <c r="A37" s="23"/>
      <c r="B37" s="6" t="s">
        <v>59</v>
      </c>
      <c r="C37" s="6" t="s">
        <v>346</v>
      </c>
      <c r="D37" s="6" t="s">
        <v>347</v>
      </c>
      <c r="E37" s="6" t="s">
        <v>348</v>
      </c>
      <c r="F37" s="6" t="s">
        <v>349</v>
      </c>
      <c r="G37" s="6" t="s">
        <v>316</v>
      </c>
      <c r="H37" s="6" t="s">
        <v>184</v>
      </c>
      <c r="I37" s="23"/>
      <c r="J37" s="23"/>
      <c r="K37" s="23"/>
      <c r="L37" s="6" t="s">
        <v>350</v>
      </c>
      <c r="M37" s="6" t="s">
        <v>351</v>
      </c>
      <c r="N37" s="6" t="s">
        <v>352</v>
      </c>
      <c r="O37" s="6" t="s">
        <v>353</v>
      </c>
      <c r="P37" s="23"/>
      <c r="Q37" s="23"/>
    </row>
    <row r="38" spans="1:17" x14ac:dyDescent="0.15">
      <c r="A38" s="23"/>
      <c r="B38" s="6" t="s">
        <v>60</v>
      </c>
      <c r="C38" s="6" t="s">
        <v>354</v>
      </c>
      <c r="D38" s="6" t="s">
        <v>355</v>
      </c>
      <c r="E38" s="6" t="s">
        <v>356</v>
      </c>
      <c r="F38" s="6" t="s">
        <v>357</v>
      </c>
      <c r="G38" s="6" t="s">
        <v>316</v>
      </c>
      <c r="H38" s="6" t="s">
        <v>358</v>
      </c>
      <c r="I38" s="23"/>
      <c r="J38" s="23"/>
      <c r="K38" s="23"/>
      <c r="L38" s="6" t="s">
        <v>359</v>
      </c>
      <c r="M38" s="6" t="s">
        <v>360</v>
      </c>
      <c r="N38" s="6" t="s">
        <v>361</v>
      </c>
      <c r="O38" s="6" t="s">
        <v>362</v>
      </c>
      <c r="P38" s="23"/>
      <c r="Q38" s="23"/>
    </row>
  </sheetData>
  <phoneticPr fontId="2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showOutlineSymbols="0" workbookViewId="0">
      <selection sqref="A1:Q17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7" ht="16.5" customHeight="1" x14ac:dyDescent="0.15">
      <c r="A1" s="6" t="s">
        <v>114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14.25" customHeight="1" x14ac:dyDescent="0.15">
      <c r="A2" s="6" t="s">
        <v>0</v>
      </c>
      <c r="B2" s="6" t="s">
        <v>1</v>
      </c>
      <c r="C2" s="23"/>
      <c r="D2" s="23"/>
      <c r="E2" s="23"/>
      <c r="F2" s="23"/>
      <c r="G2" s="6" t="s">
        <v>2</v>
      </c>
      <c r="H2" s="6" t="s">
        <v>115</v>
      </c>
      <c r="I2" s="23"/>
      <c r="J2" s="23"/>
      <c r="K2" s="23"/>
      <c r="L2" s="23"/>
      <c r="M2" s="23"/>
      <c r="N2" s="23"/>
      <c r="O2" s="6" t="s">
        <v>3</v>
      </c>
      <c r="P2" s="6" t="s">
        <v>116</v>
      </c>
      <c r="Q2" s="23"/>
    </row>
    <row r="3" spans="1:17" ht="14.25" customHeight="1" x14ac:dyDescent="0.15">
      <c r="A3" s="6" t="s">
        <v>4</v>
      </c>
      <c r="B3" s="6" t="s">
        <v>117</v>
      </c>
      <c r="C3" s="23"/>
      <c r="D3" s="23"/>
      <c r="E3" s="23"/>
      <c r="F3" s="23"/>
      <c r="G3" s="6" t="s">
        <v>5</v>
      </c>
      <c r="H3" s="6" t="s">
        <v>371</v>
      </c>
      <c r="I3" s="23"/>
      <c r="J3" s="23"/>
      <c r="K3" s="23"/>
      <c r="L3" s="23"/>
      <c r="M3" s="23"/>
      <c r="N3" s="23"/>
      <c r="O3" s="6" t="s">
        <v>6</v>
      </c>
      <c r="P3" s="6" t="s">
        <v>7</v>
      </c>
      <c r="Q3" s="23"/>
    </row>
    <row r="4" spans="1:17" ht="14.25" customHeight="1" x14ac:dyDescent="0.15">
      <c r="A4" s="6" t="s">
        <v>8</v>
      </c>
      <c r="B4" s="6" t="s">
        <v>119</v>
      </c>
      <c r="C4" s="23"/>
      <c r="D4" s="23"/>
      <c r="E4" s="23"/>
      <c r="F4" s="23"/>
      <c r="G4" s="6" t="s">
        <v>9</v>
      </c>
      <c r="H4" s="6" t="s">
        <v>372</v>
      </c>
      <c r="I4" s="23"/>
      <c r="J4" s="23"/>
      <c r="K4" s="23"/>
      <c r="L4" s="23"/>
      <c r="M4" s="23"/>
      <c r="N4" s="23"/>
      <c r="O4" s="6" t="s">
        <v>10</v>
      </c>
      <c r="P4" s="6" t="s">
        <v>11</v>
      </c>
      <c r="Q4" s="23"/>
    </row>
    <row r="5" spans="1:17" ht="14.25" customHeight="1" x14ac:dyDescent="0.15">
      <c r="A5" s="6" t="s">
        <v>12</v>
      </c>
      <c r="B5" s="6" t="s">
        <v>121</v>
      </c>
      <c r="C5" s="23"/>
      <c r="D5" s="23"/>
      <c r="E5" s="23"/>
      <c r="F5" s="23"/>
      <c r="G5" s="6" t="s">
        <v>13</v>
      </c>
      <c r="H5" s="6" t="s">
        <v>122</v>
      </c>
      <c r="I5" s="23"/>
      <c r="J5" s="23"/>
      <c r="K5" s="23"/>
      <c r="L5" s="23"/>
      <c r="M5" s="23"/>
      <c r="N5" s="23"/>
      <c r="O5" s="6" t="s">
        <v>14</v>
      </c>
      <c r="P5" s="6" t="s">
        <v>15</v>
      </c>
      <c r="Q5" s="6" t="s">
        <v>16</v>
      </c>
    </row>
    <row r="6" spans="1:17" ht="14.25" customHeight="1" x14ac:dyDescent="0.15">
      <c r="A6" s="6" t="s">
        <v>17</v>
      </c>
      <c r="B6" s="6" t="s">
        <v>18</v>
      </c>
      <c r="C6" s="23"/>
      <c r="D6" s="6" t="s">
        <v>19</v>
      </c>
      <c r="E6" s="6" t="s">
        <v>123</v>
      </c>
      <c r="F6" s="23"/>
      <c r="G6" s="23"/>
      <c r="H6" s="6"/>
      <c r="I6" s="23"/>
      <c r="J6" s="23"/>
      <c r="K6" s="23"/>
      <c r="L6" s="23"/>
      <c r="M6" s="23"/>
      <c r="N6" s="23"/>
      <c r="O6" s="6" t="s">
        <v>20</v>
      </c>
      <c r="P6" s="6"/>
      <c r="Q6" s="6"/>
    </row>
    <row r="7" spans="1:17" ht="14.25" customHeight="1" x14ac:dyDescent="0.15">
      <c r="A7" s="6" t="s">
        <v>21</v>
      </c>
      <c r="B7" s="6" t="s">
        <v>22</v>
      </c>
      <c r="C7" s="23"/>
      <c r="D7" s="6" t="s">
        <v>23</v>
      </c>
      <c r="E7" s="6" t="s">
        <v>1</v>
      </c>
      <c r="F7" s="23"/>
      <c r="G7" s="23"/>
      <c r="H7" s="23"/>
      <c r="I7" s="23"/>
      <c r="J7" s="23"/>
      <c r="K7" s="23"/>
      <c r="L7" s="23"/>
      <c r="M7" s="23"/>
      <c r="N7" s="23"/>
      <c r="O7" s="6" t="s">
        <v>24</v>
      </c>
      <c r="P7" s="6"/>
      <c r="Q7" s="6"/>
    </row>
    <row r="8" spans="1:17" ht="14.25" customHeight="1" x14ac:dyDescent="0.15">
      <c r="A8" s="6" t="s">
        <v>25</v>
      </c>
      <c r="B8" s="6" t="s">
        <v>373</v>
      </c>
      <c r="C8" s="23"/>
      <c r="D8" s="6" t="s">
        <v>26</v>
      </c>
      <c r="E8" s="6" t="s">
        <v>374</v>
      </c>
      <c r="F8" s="23"/>
      <c r="G8" s="6" t="s">
        <v>27</v>
      </c>
      <c r="H8" s="6" t="s">
        <v>117</v>
      </c>
      <c r="I8" s="23"/>
      <c r="J8" s="23"/>
      <c r="K8" s="23"/>
      <c r="L8" s="23"/>
      <c r="M8" s="23"/>
      <c r="N8" s="23"/>
      <c r="O8" s="23"/>
      <c r="P8" s="23"/>
      <c r="Q8" s="23"/>
    </row>
    <row r="9" spans="1:17" ht="14.25" customHeight="1" x14ac:dyDescent="0.15">
      <c r="A9" s="6" t="s">
        <v>28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6" t="s">
        <v>29</v>
      </c>
      <c r="P9" s="6"/>
      <c r="Q9" s="23"/>
    </row>
    <row r="10" spans="1:17" ht="14.25" customHeight="1" x14ac:dyDescent="0.1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</row>
    <row r="11" spans="1:17" ht="14.25" customHeight="1" x14ac:dyDescent="0.1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</row>
    <row r="12" spans="1:17" ht="14.25" customHeight="1" x14ac:dyDescent="0.15">
      <c r="A12" s="6" t="s">
        <v>30</v>
      </c>
      <c r="B12" s="6" t="s">
        <v>31</v>
      </c>
      <c r="C12" s="6" t="s">
        <v>30</v>
      </c>
      <c r="D12" s="6" t="s">
        <v>32</v>
      </c>
      <c r="E12" s="6" t="s">
        <v>33</v>
      </c>
      <c r="F12" s="6" t="s">
        <v>33</v>
      </c>
      <c r="G12" s="6" t="s">
        <v>34</v>
      </c>
      <c r="H12" s="6" t="s">
        <v>34</v>
      </c>
      <c r="I12" s="23"/>
      <c r="J12" s="23"/>
      <c r="K12" s="23"/>
      <c r="L12" s="6" t="s">
        <v>35</v>
      </c>
      <c r="M12" s="6" t="s">
        <v>36</v>
      </c>
      <c r="N12" s="6" t="s">
        <v>37</v>
      </c>
      <c r="O12" s="6" t="s">
        <v>20</v>
      </c>
      <c r="P12" s="6" t="s">
        <v>20</v>
      </c>
      <c r="Q12" s="6" t="s">
        <v>38</v>
      </c>
    </row>
    <row r="13" spans="1:17" ht="14.25" customHeight="1" x14ac:dyDescent="0.15">
      <c r="A13" s="6" t="s">
        <v>39</v>
      </c>
      <c r="B13" s="23"/>
      <c r="C13" s="6" t="s">
        <v>40</v>
      </c>
      <c r="D13" s="6" t="s">
        <v>41</v>
      </c>
      <c r="E13" s="6" t="s">
        <v>42</v>
      </c>
      <c r="F13" s="6" t="s">
        <v>43</v>
      </c>
      <c r="G13" s="6" t="s">
        <v>44</v>
      </c>
      <c r="H13" s="6" t="s">
        <v>45</v>
      </c>
      <c r="I13" s="23"/>
      <c r="J13" s="23"/>
      <c r="K13" s="23"/>
      <c r="L13" s="23"/>
      <c r="M13" s="6" t="s">
        <v>46</v>
      </c>
      <c r="N13" s="23"/>
      <c r="O13" s="23"/>
      <c r="P13" s="23"/>
      <c r="Q13" s="23"/>
    </row>
    <row r="14" spans="1:17" ht="14.25" customHeight="1" x14ac:dyDescent="0.15">
      <c r="A14" s="6" t="s">
        <v>47</v>
      </c>
      <c r="B14" s="23"/>
      <c r="C14" s="6" t="s">
        <v>48</v>
      </c>
      <c r="D14" s="6" t="s">
        <v>49</v>
      </c>
      <c r="E14" s="6" t="s">
        <v>47</v>
      </c>
      <c r="F14" s="6" t="s">
        <v>49</v>
      </c>
      <c r="G14" s="6" t="s">
        <v>50</v>
      </c>
      <c r="H14" s="6" t="s">
        <v>51</v>
      </c>
      <c r="I14" s="23"/>
      <c r="J14" s="23"/>
      <c r="K14" s="23"/>
      <c r="L14" s="6" t="s">
        <v>52</v>
      </c>
      <c r="M14" s="6" t="s">
        <v>53</v>
      </c>
      <c r="N14" s="6" t="s">
        <v>49</v>
      </c>
      <c r="O14" s="6" t="s">
        <v>54</v>
      </c>
      <c r="P14" s="6" t="s">
        <v>54</v>
      </c>
      <c r="Q14" s="6" t="s">
        <v>54</v>
      </c>
    </row>
    <row r="15" spans="1:17" ht="14.25" customHeight="1" x14ac:dyDescent="0.15">
      <c r="A15" s="6" t="s">
        <v>375</v>
      </c>
      <c r="B15" s="6" t="s">
        <v>55</v>
      </c>
      <c r="C15" s="6" t="s">
        <v>376</v>
      </c>
      <c r="D15" s="6" t="s">
        <v>377</v>
      </c>
      <c r="E15" s="6" t="s">
        <v>378</v>
      </c>
      <c r="F15" s="6" t="s">
        <v>379</v>
      </c>
      <c r="G15" s="6" t="s">
        <v>380</v>
      </c>
      <c r="H15" s="6" t="s">
        <v>381</v>
      </c>
      <c r="I15" s="23"/>
      <c r="J15" s="23"/>
      <c r="K15" s="23"/>
      <c r="L15" s="6" t="s">
        <v>382</v>
      </c>
      <c r="M15" s="6" t="s">
        <v>383</v>
      </c>
      <c r="N15" s="6" t="s">
        <v>384</v>
      </c>
      <c r="O15" s="6" t="s">
        <v>385</v>
      </c>
      <c r="P15" s="6" t="s">
        <v>386</v>
      </c>
      <c r="Q15" s="6" t="s">
        <v>387</v>
      </c>
    </row>
    <row r="16" spans="1:17" ht="14.25" customHeight="1" x14ac:dyDescent="0.15">
      <c r="A16" s="23"/>
      <c r="B16" s="6" t="s">
        <v>59</v>
      </c>
      <c r="C16" s="6" t="s">
        <v>388</v>
      </c>
      <c r="D16" s="6" t="s">
        <v>389</v>
      </c>
      <c r="E16" s="6" t="s">
        <v>390</v>
      </c>
      <c r="F16" s="6" t="s">
        <v>391</v>
      </c>
      <c r="G16" s="6" t="s">
        <v>392</v>
      </c>
      <c r="H16" s="6" t="s">
        <v>393</v>
      </c>
      <c r="I16" s="23"/>
      <c r="J16" s="23"/>
      <c r="K16" s="23"/>
      <c r="L16" s="6" t="s">
        <v>394</v>
      </c>
      <c r="M16" s="6" t="s">
        <v>395</v>
      </c>
      <c r="N16" s="6" t="s">
        <v>396</v>
      </c>
      <c r="O16" s="6" t="s">
        <v>386</v>
      </c>
      <c r="P16" s="23"/>
      <c r="Q16" s="23"/>
    </row>
    <row r="17" spans="1:17" ht="14.25" customHeight="1" x14ac:dyDescent="0.15">
      <c r="A17" s="23"/>
      <c r="B17" s="6" t="s">
        <v>60</v>
      </c>
      <c r="C17" s="6" t="s">
        <v>397</v>
      </c>
      <c r="D17" s="6" t="s">
        <v>398</v>
      </c>
      <c r="E17" s="6" t="s">
        <v>399</v>
      </c>
      <c r="F17" s="6" t="s">
        <v>400</v>
      </c>
      <c r="G17" s="6" t="s">
        <v>401</v>
      </c>
      <c r="H17" s="6" t="s">
        <v>402</v>
      </c>
      <c r="I17" s="23"/>
      <c r="J17" s="23"/>
      <c r="K17" s="23"/>
      <c r="L17" s="6" t="s">
        <v>394</v>
      </c>
      <c r="M17" s="6" t="s">
        <v>403</v>
      </c>
      <c r="N17" s="6" t="s">
        <v>404</v>
      </c>
      <c r="O17" s="6" t="s">
        <v>405</v>
      </c>
      <c r="P17" s="23"/>
      <c r="Q17" s="23"/>
    </row>
    <row r="18" spans="1:17" ht="14.25" customHeight="1" x14ac:dyDescent="0.15">
      <c r="A18" s="6"/>
      <c r="B18" s="6"/>
      <c r="C18" s="6"/>
      <c r="D18" s="6"/>
      <c r="E18" s="6"/>
      <c r="F18" s="6"/>
      <c r="G18" s="6"/>
      <c r="H18" s="6"/>
      <c r="I18" s="8"/>
      <c r="J18" s="8"/>
      <c r="K18" s="8"/>
      <c r="L18" s="6"/>
      <c r="M18" s="6"/>
      <c r="N18" s="6"/>
      <c r="O18" s="6"/>
      <c r="P18" s="6"/>
      <c r="Q18" s="6"/>
    </row>
    <row r="19" spans="1:17" x14ac:dyDescent="0.15">
      <c r="A19" s="8"/>
      <c r="B19" s="6"/>
      <c r="C19" s="6"/>
      <c r="D19" s="6"/>
      <c r="E19" s="6"/>
      <c r="F19" s="6"/>
      <c r="G19" s="6"/>
      <c r="H19" s="6"/>
      <c r="I19" s="8"/>
      <c r="J19" s="8"/>
      <c r="K19" s="8"/>
      <c r="L19" s="6"/>
      <c r="M19" s="6"/>
      <c r="N19" s="6"/>
      <c r="O19" s="6"/>
      <c r="P19" s="8"/>
      <c r="Q19" s="8"/>
    </row>
    <row r="20" spans="1:17" x14ac:dyDescent="0.15">
      <c r="A20" s="8"/>
      <c r="B20" s="6"/>
      <c r="C20" s="6"/>
      <c r="D20" s="6"/>
      <c r="E20" s="6"/>
      <c r="F20" s="6"/>
      <c r="G20" s="6"/>
      <c r="H20" s="6"/>
      <c r="I20" s="8"/>
      <c r="J20" s="8"/>
      <c r="K20" s="8"/>
      <c r="L20" s="6"/>
      <c r="M20" s="6"/>
      <c r="N20" s="6"/>
      <c r="O20" s="6"/>
      <c r="P20" s="8"/>
      <c r="Q20" s="8"/>
    </row>
    <row r="21" spans="1:17" x14ac:dyDescent="0.15">
      <c r="A21" s="6"/>
      <c r="B21" s="6"/>
      <c r="C21" s="6"/>
      <c r="D21" s="6"/>
      <c r="E21" s="6"/>
      <c r="F21" s="6"/>
      <c r="G21" s="6"/>
      <c r="H21" s="6"/>
      <c r="I21" s="8"/>
      <c r="J21" s="8"/>
      <c r="K21" s="8"/>
      <c r="L21" s="6"/>
      <c r="M21" s="6"/>
      <c r="N21" s="6"/>
      <c r="O21" s="6"/>
      <c r="P21" s="6"/>
      <c r="Q21" s="6"/>
    </row>
    <row r="22" spans="1:17" x14ac:dyDescent="0.15">
      <c r="A22" s="8"/>
      <c r="B22" s="6"/>
      <c r="C22" s="6"/>
      <c r="D22" s="6"/>
      <c r="E22" s="6"/>
      <c r="F22" s="6"/>
      <c r="G22" s="6"/>
      <c r="H22" s="6"/>
      <c r="I22" s="8"/>
      <c r="J22" s="8"/>
      <c r="K22" s="8"/>
      <c r="L22" s="6"/>
      <c r="M22" s="6"/>
      <c r="N22" s="6"/>
      <c r="O22" s="6"/>
      <c r="P22" s="8"/>
      <c r="Q22" s="8"/>
    </row>
    <row r="23" spans="1:17" x14ac:dyDescent="0.15">
      <c r="A23" s="8"/>
      <c r="B23" s="6"/>
      <c r="C23" s="6"/>
      <c r="D23" s="6"/>
      <c r="E23" s="6"/>
      <c r="F23" s="6"/>
      <c r="G23" s="6"/>
      <c r="H23" s="6"/>
      <c r="I23" s="8"/>
      <c r="J23" s="8"/>
      <c r="K23" s="8"/>
      <c r="L23" s="6"/>
      <c r="M23" s="6"/>
      <c r="N23" s="6"/>
      <c r="O23" s="6"/>
      <c r="P23" s="8"/>
      <c r="Q23" s="8"/>
    </row>
  </sheetData>
  <phoneticPr fontId="3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7"/>
  <sheetViews>
    <sheetView tabSelected="1" topLeftCell="A79" zoomScale="110" zoomScaleNormal="110" workbookViewId="0">
      <selection activeCell="L89" sqref="L89"/>
    </sheetView>
  </sheetViews>
  <sheetFormatPr defaultRowHeight="14.25" x14ac:dyDescent="0.15"/>
  <cols>
    <col min="1" max="1" width="5.375" customWidth="1"/>
    <col min="2" max="2" width="12" customWidth="1"/>
    <col min="3" max="3" width="2.625" customWidth="1"/>
    <col min="4" max="4" width="4.375" customWidth="1"/>
    <col min="5" max="5" width="4.625" customWidth="1"/>
    <col min="6" max="6" width="5.625" customWidth="1"/>
    <col min="7" max="7" width="4.625" customWidth="1"/>
    <col min="8" max="8" width="5.625" customWidth="1"/>
    <col min="9" max="9" width="9.125" customWidth="1"/>
    <col min="10" max="10" width="10.625" customWidth="1"/>
    <col min="11" max="11" width="11.625" customWidth="1"/>
    <col min="12" max="12" width="12.375" customWidth="1"/>
    <col min="13" max="13" width="13.125" customWidth="1"/>
  </cols>
  <sheetData>
    <row r="1" spans="1:35" ht="15" x14ac:dyDescent="0.2">
      <c r="A1" s="1"/>
      <c r="B1" s="80" t="s">
        <v>113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20.25" customHeight="1" x14ac:dyDescent="0.15">
      <c r="A2" s="1"/>
      <c r="B2" s="71" t="s">
        <v>69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20.25" customHeight="1" x14ac:dyDescent="0.15">
      <c r="A3" s="1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8" customHeight="1" x14ac:dyDescent="0.15">
      <c r="A4" s="1"/>
      <c r="B4" s="5" t="s">
        <v>71</v>
      </c>
      <c r="C4" s="49" t="str">
        <f>初始!B3</f>
        <v>涡街流量计</v>
      </c>
      <c r="D4" s="49"/>
      <c r="E4" s="49"/>
      <c r="F4" s="49"/>
      <c r="G4" s="49"/>
      <c r="H4" s="49"/>
      <c r="I4" s="47" t="s">
        <v>74</v>
      </c>
      <c r="J4" s="66"/>
      <c r="K4" s="49" t="s">
        <v>407</v>
      </c>
      <c r="L4" s="49"/>
      <c r="M4" s="4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8" customHeight="1" x14ac:dyDescent="0.15">
      <c r="A5" s="1"/>
      <c r="B5" s="5" t="s">
        <v>72</v>
      </c>
      <c r="C5" s="84" t="str">
        <f>初始!H2</f>
        <v>LUGB 015YDMEJCX2BB-401N15NN4</v>
      </c>
      <c r="D5" s="84"/>
      <c r="E5" s="84"/>
      <c r="F5" s="84"/>
      <c r="G5" s="84"/>
      <c r="H5" s="84"/>
      <c r="I5" s="47" t="s">
        <v>75</v>
      </c>
      <c r="J5" s="66"/>
      <c r="K5" s="52" t="str">
        <f>初始!B4</f>
        <v>上海自仪海莱特流量仪表有限公司</v>
      </c>
      <c r="L5" s="52"/>
      <c r="M5" s="5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8" customHeight="1" x14ac:dyDescent="0.15">
      <c r="A6" s="1"/>
      <c r="B6" s="5" t="s">
        <v>73</v>
      </c>
      <c r="C6" s="52" t="str">
        <f>初始!H3</f>
        <v xml:space="preserve">2026010021                   </v>
      </c>
      <c r="D6" s="52"/>
      <c r="E6" s="52"/>
      <c r="F6" s="52"/>
      <c r="G6" s="52"/>
      <c r="H6" s="52"/>
      <c r="I6" s="47" t="s">
        <v>76</v>
      </c>
      <c r="J6" s="48"/>
      <c r="K6" s="14" t="str">
        <f>初始!B6</f>
        <v>(20-21)℃</v>
      </c>
      <c r="L6" s="16" t="s">
        <v>77</v>
      </c>
      <c r="M6" s="14" t="str">
        <f>初始!E6</f>
        <v>(68-70)%RH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8" customHeight="1" x14ac:dyDescent="0.15">
      <c r="A7" s="1"/>
      <c r="B7" s="5" t="s">
        <v>78</v>
      </c>
      <c r="C7" s="49" t="s">
        <v>365</v>
      </c>
      <c r="D7" s="49"/>
      <c r="E7" s="49"/>
      <c r="F7" s="49"/>
      <c r="G7" s="47" t="s">
        <v>70</v>
      </c>
      <c r="H7" s="66"/>
      <c r="I7" s="49" t="str">
        <f>SUBSTITUTE(初始!H4,"m^3","m³")</f>
        <v xml:space="preserve"> ( 3.2～32 )m³/h</v>
      </c>
      <c r="J7" s="49"/>
      <c r="K7" s="50"/>
      <c r="L7" s="50"/>
      <c r="M7" s="5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8" customHeight="1" x14ac:dyDescent="0.15">
      <c r="A8" s="1"/>
      <c r="B8" s="5" t="s">
        <v>79</v>
      </c>
      <c r="C8" s="49" t="s">
        <v>82</v>
      </c>
      <c r="D8" s="49"/>
      <c r="E8" s="49"/>
      <c r="F8" s="49"/>
      <c r="G8" s="49"/>
      <c r="H8" s="49"/>
      <c r="I8" s="49"/>
      <c r="J8" s="16" t="s">
        <v>83</v>
      </c>
      <c r="K8" s="49" t="s">
        <v>406</v>
      </c>
      <c r="L8" s="49"/>
      <c r="M8" s="49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18" customHeight="1" x14ac:dyDescent="0.15">
      <c r="A9" s="1"/>
      <c r="B9" s="5" t="s">
        <v>80</v>
      </c>
      <c r="C9" s="78">
        <v>1</v>
      </c>
      <c r="D9" s="78"/>
      <c r="E9" s="78"/>
      <c r="F9" s="5" t="s">
        <v>81</v>
      </c>
      <c r="G9" s="51"/>
      <c r="H9" s="51"/>
      <c r="I9" s="51"/>
      <c r="J9" s="51"/>
      <c r="K9" s="51"/>
      <c r="L9" s="51"/>
      <c r="M9" s="5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8" customHeight="1" x14ac:dyDescent="0.15">
      <c r="A10" s="1"/>
      <c r="B10" s="5" t="s">
        <v>89</v>
      </c>
      <c r="C10" s="77" t="s">
        <v>364</v>
      </c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8" customHeight="1" x14ac:dyDescent="0.15">
      <c r="A11" s="1"/>
      <c r="B11" s="22" t="s">
        <v>363</v>
      </c>
      <c r="C11" s="77" t="s">
        <v>84</v>
      </c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8" customHeight="1" x14ac:dyDescent="0.15">
      <c r="A12" s="1"/>
      <c r="B12" s="4" t="s">
        <v>86</v>
      </c>
      <c r="C12" s="77" t="s">
        <v>84</v>
      </c>
      <c r="D12" s="74"/>
      <c r="E12" s="74"/>
      <c r="F12" s="22" t="s">
        <v>90</v>
      </c>
      <c r="G12" s="4"/>
      <c r="H12" s="4"/>
      <c r="I12" s="9">
        <v>2.5</v>
      </c>
      <c r="J12" s="4" t="s">
        <v>88</v>
      </c>
      <c r="K12" s="4"/>
      <c r="L12" s="7"/>
      <c r="M12" s="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8" customHeight="1" x14ac:dyDescent="0.15">
      <c r="A13" s="1"/>
      <c r="B13" s="4" t="s">
        <v>87</v>
      </c>
      <c r="C13" s="64" t="str">
        <f>初始!H5</f>
        <v>333.004 1/L</v>
      </c>
      <c r="D13" s="64"/>
      <c r="E13" s="64"/>
      <c r="F13" s="64"/>
      <c r="G13" s="4"/>
      <c r="H13" s="4"/>
      <c r="I13" s="4"/>
      <c r="J13" s="4"/>
      <c r="K13" s="4"/>
      <c r="L13" s="7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18" customHeight="1" x14ac:dyDescent="0.15">
      <c r="A14" s="1"/>
      <c r="B14" s="5" t="s">
        <v>95</v>
      </c>
      <c r="C14" s="49" t="s">
        <v>92</v>
      </c>
      <c r="D14" s="49"/>
      <c r="E14" s="12" t="str">
        <f>初始!A15</f>
        <v>32</v>
      </c>
      <c r="F14" s="4" t="s">
        <v>85</v>
      </c>
      <c r="G14" s="49" t="s">
        <v>93</v>
      </c>
      <c r="H14" s="49"/>
      <c r="I14" s="12" t="str">
        <f>初始!A33</f>
        <v>3.2</v>
      </c>
      <c r="J14" s="4" t="s">
        <v>85</v>
      </c>
      <c r="K14" s="13" t="s">
        <v>94</v>
      </c>
      <c r="L14" s="12" t="str">
        <f>初始!A27</f>
        <v>6.4</v>
      </c>
      <c r="M14" s="4" t="s">
        <v>85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30" customHeight="1" x14ac:dyDescent="0.15">
      <c r="A15" s="1"/>
      <c r="B15" s="54" t="s">
        <v>100</v>
      </c>
      <c r="C15" s="29" t="s">
        <v>99</v>
      </c>
      <c r="D15" s="36"/>
      <c r="E15" s="57" t="s">
        <v>102</v>
      </c>
      <c r="F15" s="58"/>
      <c r="G15" s="57" t="s">
        <v>103</v>
      </c>
      <c r="H15" s="58"/>
      <c r="I15" s="41" t="s">
        <v>104</v>
      </c>
      <c r="J15" s="54" t="s">
        <v>109</v>
      </c>
      <c r="K15" s="41" t="s">
        <v>105</v>
      </c>
      <c r="L15" s="29" t="s">
        <v>366</v>
      </c>
      <c r="M15" s="30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14.25" customHeight="1" x14ac:dyDescent="0.15">
      <c r="A16" s="1"/>
      <c r="B16" s="55"/>
      <c r="C16" s="37"/>
      <c r="D16" s="38"/>
      <c r="E16" s="59"/>
      <c r="F16" s="60"/>
      <c r="G16" s="59"/>
      <c r="H16" s="60"/>
      <c r="I16" s="76"/>
      <c r="J16" s="55"/>
      <c r="K16" s="76"/>
      <c r="L16" s="31"/>
      <c r="M16" s="3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15" customHeight="1" x14ac:dyDescent="0.15">
      <c r="A17" s="1"/>
      <c r="B17" s="55"/>
      <c r="C17" s="37"/>
      <c r="D17" s="38"/>
      <c r="E17" s="61"/>
      <c r="F17" s="62"/>
      <c r="G17" s="61"/>
      <c r="H17" s="62"/>
      <c r="I17" s="76"/>
      <c r="J17" s="56"/>
      <c r="K17" s="76"/>
      <c r="L17" s="31"/>
      <c r="M17" s="3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18" customHeight="1" x14ac:dyDescent="0.15">
      <c r="A18" s="1"/>
      <c r="B18" s="56"/>
      <c r="C18" s="39"/>
      <c r="D18" s="40"/>
      <c r="E18" s="41" t="s">
        <v>101</v>
      </c>
      <c r="F18" s="41"/>
      <c r="G18" s="41" t="s">
        <v>101</v>
      </c>
      <c r="H18" s="41"/>
      <c r="I18" s="10" t="s">
        <v>106</v>
      </c>
      <c r="J18" s="10" t="s">
        <v>110</v>
      </c>
      <c r="K18" s="10" t="s">
        <v>106</v>
      </c>
      <c r="L18" s="33"/>
      <c r="M18" s="3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8" customHeight="1" x14ac:dyDescent="0.15">
      <c r="A19" s="1"/>
      <c r="B19" s="42" t="s">
        <v>107</v>
      </c>
      <c r="C19" s="41">
        <v>1</v>
      </c>
      <c r="D19" s="41"/>
      <c r="E19" s="46" t="str">
        <f>初始!N15</f>
        <v>388.028</v>
      </c>
      <c r="F19" s="46"/>
      <c r="G19" s="45" t="str">
        <f>初始!F15</f>
        <v>388.920</v>
      </c>
      <c r="H19" s="45"/>
      <c r="I19" s="15">
        <f>(E19-G19)/G19*100</f>
        <v>-0.22935308032500148</v>
      </c>
      <c r="J19" s="25">
        <f>AVERAGE(I19:I24)</f>
        <v>-0.2339538405293746</v>
      </c>
      <c r="K19" s="25">
        <f>STDEV(I19:I24)</f>
        <v>6.2239323603439721E-2</v>
      </c>
      <c r="L19" s="35" t="s">
        <v>367</v>
      </c>
      <c r="M19" s="3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8" customHeight="1" x14ac:dyDescent="0.15">
      <c r="A20" s="1"/>
      <c r="B20" s="43"/>
      <c r="C20" s="41">
        <v>2</v>
      </c>
      <c r="D20" s="41"/>
      <c r="E20" s="46" t="str">
        <f>初始!N16</f>
        <v>386.518</v>
      </c>
      <c r="F20" s="46"/>
      <c r="G20" s="45" t="str">
        <f>初始!F16</f>
        <v>387.082</v>
      </c>
      <c r="H20" s="45"/>
      <c r="I20" s="21">
        <f t="shared" ref="I20:I39" si="0">(E20-G20)/G20*100</f>
        <v>-0.14570556109558735</v>
      </c>
      <c r="J20" s="26"/>
      <c r="K20" s="26"/>
      <c r="L20" s="37"/>
      <c r="M20" s="3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8" customHeight="1" x14ac:dyDescent="0.15">
      <c r="A21" s="1"/>
      <c r="B21" s="43"/>
      <c r="C21" s="41">
        <v>3</v>
      </c>
      <c r="D21" s="41"/>
      <c r="E21" s="46" t="str">
        <f>初始!N17</f>
        <v>383.182</v>
      </c>
      <c r="F21" s="46"/>
      <c r="G21" s="45" t="str">
        <f>初始!F17</f>
        <v>384.429</v>
      </c>
      <c r="H21" s="45"/>
      <c r="I21" s="21">
        <f t="shared" si="0"/>
        <v>-0.32437719318780772</v>
      </c>
      <c r="J21" s="26"/>
      <c r="K21" s="26"/>
      <c r="L21" s="37"/>
      <c r="M21" s="38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8" customHeight="1" x14ac:dyDescent="0.15">
      <c r="A22" s="1"/>
      <c r="B22" s="43"/>
      <c r="C22" s="41">
        <v>4</v>
      </c>
      <c r="D22" s="41"/>
      <c r="E22" s="46" t="str">
        <f>初始!N18</f>
        <v>387.803</v>
      </c>
      <c r="F22" s="46"/>
      <c r="G22" s="45" t="str">
        <f>初始!F18</f>
        <v>388.816</v>
      </c>
      <c r="H22" s="45"/>
      <c r="I22" s="21">
        <f t="shared" si="0"/>
        <v>-0.26053454590345482</v>
      </c>
      <c r="J22" s="26"/>
      <c r="K22" s="26"/>
      <c r="L22" s="37"/>
      <c r="M22" s="3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8" customHeight="1" x14ac:dyDescent="0.15">
      <c r="A23" s="1"/>
      <c r="B23" s="43"/>
      <c r="C23" s="41">
        <v>5</v>
      </c>
      <c r="D23" s="41"/>
      <c r="E23" s="46" t="str">
        <f>初始!N19</f>
        <v>385.200</v>
      </c>
      <c r="F23" s="46"/>
      <c r="G23" s="45" t="str">
        <f>初始!F19</f>
        <v>385.923</v>
      </c>
      <c r="H23" s="45"/>
      <c r="I23" s="21">
        <f t="shared" si="0"/>
        <v>-0.18734307102712541</v>
      </c>
      <c r="J23" s="26"/>
      <c r="K23" s="26"/>
      <c r="L23" s="37"/>
      <c r="M23" s="3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8" customHeight="1" x14ac:dyDescent="0.15">
      <c r="A24" s="1"/>
      <c r="B24" s="44"/>
      <c r="C24" s="41">
        <v>6</v>
      </c>
      <c r="D24" s="41"/>
      <c r="E24" s="46" t="str">
        <f>初始!N20</f>
        <v>384.722</v>
      </c>
      <c r="F24" s="46"/>
      <c r="G24" s="45" t="str">
        <f>初始!F20</f>
        <v>385.711</v>
      </c>
      <c r="H24" s="45"/>
      <c r="I24" s="21">
        <f t="shared" si="0"/>
        <v>-0.25640959163727056</v>
      </c>
      <c r="J24" s="27"/>
      <c r="K24" s="27"/>
      <c r="L24" s="37"/>
      <c r="M24" s="3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8" customHeight="1" x14ac:dyDescent="0.15">
      <c r="A25" s="1"/>
      <c r="B25" s="42" t="s">
        <v>108</v>
      </c>
      <c r="C25" s="41">
        <v>1</v>
      </c>
      <c r="D25" s="41"/>
      <c r="E25" s="46" t="str">
        <f>初始!N21</f>
        <v>155.280</v>
      </c>
      <c r="F25" s="46"/>
      <c r="G25" s="45" t="str">
        <f>初始!F21</f>
        <v>154.200</v>
      </c>
      <c r="H25" s="45"/>
      <c r="I25" s="21">
        <f t="shared" si="0"/>
        <v>0.70038910505837393</v>
      </c>
      <c r="J25" s="25">
        <f>AVERAGE(I25:I30)</f>
        <v>0.59768062823436796</v>
      </c>
      <c r="K25" s="25">
        <f>STDEV(I25:I30)</f>
        <v>5.7669812700693268E-2</v>
      </c>
      <c r="L25" s="37"/>
      <c r="M25" s="3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8" customHeight="1" x14ac:dyDescent="0.15">
      <c r="A26" s="1"/>
      <c r="B26" s="43"/>
      <c r="C26" s="41">
        <v>2</v>
      </c>
      <c r="D26" s="41"/>
      <c r="E26" s="46" t="str">
        <f>初始!N22</f>
        <v>158.295</v>
      </c>
      <c r="F26" s="46"/>
      <c r="G26" s="45" t="str">
        <f>初始!F22</f>
        <v>157.449</v>
      </c>
      <c r="H26" s="45"/>
      <c r="I26" s="21">
        <f t="shared" si="0"/>
        <v>0.53731684545470282</v>
      </c>
      <c r="J26" s="26"/>
      <c r="K26" s="26"/>
      <c r="L26" s="37"/>
      <c r="M26" s="3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8" customHeight="1" x14ac:dyDescent="0.15">
      <c r="A27" s="1"/>
      <c r="B27" s="43"/>
      <c r="C27" s="41">
        <v>3</v>
      </c>
      <c r="D27" s="41"/>
      <c r="E27" s="46" t="str">
        <f>初始!N23</f>
        <v>156.425</v>
      </c>
      <c r="F27" s="46"/>
      <c r="G27" s="45" t="str">
        <f>初始!F23</f>
        <v>155.469</v>
      </c>
      <c r="H27" s="45"/>
      <c r="I27" s="21">
        <f t="shared" si="0"/>
        <v>0.61491358405856944</v>
      </c>
      <c r="J27" s="26"/>
      <c r="K27" s="26"/>
      <c r="L27" s="37"/>
      <c r="M27" s="3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8" customHeight="1" x14ac:dyDescent="0.15">
      <c r="A28" s="1"/>
      <c r="B28" s="43"/>
      <c r="C28" s="41">
        <v>4</v>
      </c>
      <c r="D28" s="41"/>
      <c r="E28" s="46" t="str">
        <f>初始!N24</f>
        <v>158.361</v>
      </c>
      <c r="F28" s="46"/>
      <c r="G28" s="45" t="str">
        <f>初始!F24</f>
        <v>157.420</v>
      </c>
      <c r="H28" s="45"/>
      <c r="I28" s="21">
        <f t="shared" si="0"/>
        <v>0.59776394359039675</v>
      </c>
      <c r="J28" s="26"/>
      <c r="K28" s="26"/>
      <c r="L28" s="37"/>
      <c r="M28" s="3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18" customHeight="1" x14ac:dyDescent="0.15">
      <c r="A29" s="1"/>
      <c r="B29" s="43"/>
      <c r="C29" s="41">
        <v>5</v>
      </c>
      <c r="D29" s="41"/>
      <c r="E29" s="46" t="str">
        <f>初始!N25</f>
        <v>157.121</v>
      </c>
      <c r="F29" s="46"/>
      <c r="G29" s="45" t="str">
        <f>初始!F25</f>
        <v>156.213</v>
      </c>
      <c r="H29" s="45"/>
      <c r="I29" s="21">
        <f t="shared" si="0"/>
        <v>0.58125764180959039</v>
      </c>
      <c r="J29" s="26"/>
      <c r="K29" s="26"/>
      <c r="L29" s="37"/>
      <c r="M29" s="38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8" customHeight="1" x14ac:dyDescent="0.15">
      <c r="A30" s="1"/>
      <c r="B30" s="44"/>
      <c r="C30" s="41">
        <v>6</v>
      </c>
      <c r="D30" s="41"/>
      <c r="E30" s="46" t="str">
        <f>初始!N26</f>
        <v>155.608</v>
      </c>
      <c r="F30" s="46"/>
      <c r="G30" s="45" t="str">
        <f>初始!F26</f>
        <v>154.750</v>
      </c>
      <c r="H30" s="45"/>
      <c r="I30" s="21">
        <f t="shared" si="0"/>
        <v>0.55444264943457455</v>
      </c>
      <c r="J30" s="27"/>
      <c r="K30" s="27"/>
      <c r="L30" s="37"/>
      <c r="M30" s="3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s="23" customFormat="1" ht="18" customHeight="1" x14ac:dyDescent="0.15">
      <c r="A31" s="20"/>
      <c r="B31" s="41" t="s">
        <v>94</v>
      </c>
      <c r="C31" s="41">
        <v>1</v>
      </c>
      <c r="D31" s="41"/>
      <c r="E31" s="46" t="str">
        <f>初始!N27</f>
        <v>82.8489</v>
      </c>
      <c r="F31" s="46"/>
      <c r="G31" s="45" t="str">
        <f>初始!F27</f>
        <v>82.4345</v>
      </c>
      <c r="H31" s="45"/>
      <c r="I31" s="21">
        <f t="shared" si="0"/>
        <v>0.50270214533963387</v>
      </c>
      <c r="J31" s="28">
        <f>AVERAGE(I31:I36)</f>
        <v>0.52481904939757273</v>
      </c>
      <c r="K31" s="28">
        <f>STDEV(I31:I36)</f>
        <v>0.11453049036105245</v>
      </c>
      <c r="L31" s="37"/>
      <c r="M31" s="38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</row>
    <row r="32" spans="1:35" s="23" customFormat="1" ht="18" customHeight="1" x14ac:dyDescent="0.15">
      <c r="A32" s="20"/>
      <c r="B32" s="41"/>
      <c r="C32" s="41">
        <v>2</v>
      </c>
      <c r="D32" s="41"/>
      <c r="E32" s="46" t="str">
        <f>初始!N28</f>
        <v>80.7077</v>
      </c>
      <c r="F32" s="46"/>
      <c r="G32" s="45" t="str">
        <f>初始!F28</f>
        <v>80.3180</v>
      </c>
      <c r="H32" s="45"/>
      <c r="I32" s="21">
        <f t="shared" si="0"/>
        <v>0.48519634453049731</v>
      </c>
      <c r="J32" s="28"/>
      <c r="K32" s="28"/>
      <c r="L32" s="37"/>
      <c r="M32" s="38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r="33" spans="1:35" s="23" customFormat="1" ht="18" customHeight="1" x14ac:dyDescent="0.15">
      <c r="A33" s="20"/>
      <c r="B33" s="41"/>
      <c r="C33" s="41">
        <v>3</v>
      </c>
      <c r="D33" s="41"/>
      <c r="E33" s="46" t="str">
        <f>初始!N29</f>
        <v>82.8879</v>
      </c>
      <c r="F33" s="46"/>
      <c r="G33" s="45" t="str">
        <f>初始!F29</f>
        <v>82.5199</v>
      </c>
      <c r="H33" s="45"/>
      <c r="I33" s="21">
        <f t="shared" si="0"/>
        <v>0.44595303678263665</v>
      </c>
      <c r="J33" s="28"/>
      <c r="K33" s="28"/>
      <c r="L33" s="37"/>
      <c r="M33" s="38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</row>
    <row r="34" spans="1:35" s="23" customFormat="1" ht="18" customHeight="1" x14ac:dyDescent="0.15">
      <c r="A34" s="20"/>
      <c r="B34" s="41"/>
      <c r="C34" s="41">
        <v>4</v>
      </c>
      <c r="D34" s="41"/>
      <c r="E34" s="46" t="str">
        <f>初始!N30</f>
        <v>80.4255</v>
      </c>
      <c r="F34" s="46"/>
      <c r="G34" s="45" t="str">
        <f>初始!F30</f>
        <v>80.0737</v>
      </c>
      <c r="H34" s="45"/>
      <c r="I34" s="21">
        <f t="shared" si="0"/>
        <v>0.43934525318549938</v>
      </c>
      <c r="J34" s="28"/>
      <c r="K34" s="28"/>
      <c r="L34" s="37"/>
      <c r="M34" s="38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</row>
    <row r="35" spans="1:35" s="23" customFormat="1" ht="18" customHeight="1" x14ac:dyDescent="0.15">
      <c r="A35" s="20"/>
      <c r="B35" s="41"/>
      <c r="C35" s="41">
        <v>5</v>
      </c>
      <c r="D35" s="41"/>
      <c r="E35" s="46" t="str">
        <f>初始!N31</f>
        <v>82.7588</v>
      </c>
      <c r="F35" s="46"/>
      <c r="G35" s="45" t="str">
        <f>初始!F31</f>
        <v>82.3247</v>
      </c>
      <c r="H35" s="45"/>
      <c r="I35" s="21">
        <f t="shared" si="0"/>
        <v>0.5273022555806296</v>
      </c>
      <c r="J35" s="28"/>
      <c r="K35" s="28"/>
      <c r="L35" s="37"/>
      <c r="M35" s="38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</row>
    <row r="36" spans="1:35" s="23" customFormat="1" ht="18" customHeight="1" x14ac:dyDescent="0.15">
      <c r="A36" s="20"/>
      <c r="B36" s="41"/>
      <c r="C36" s="41">
        <v>6</v>
      </c>
      <c r="D36" s="41"/>
      <c r="E36" s="46" t="str">
        <f>初始!N32</f>
        <v>82.3444</v>
      </c>
      <c r="F36" s="46"/>
      <c r="G36" s="45" t="str">
        <f>初始!F32</f>
        <v>81.7327</v>
      </c>
      <c r="H36" s="45"/>
      <c r="I36" s="21">
        <f t="shared" si="0"/>
        <v>0.74841526096653976</v>
      </c>
      <c r="J36" s="28"/>
      <c r="K36" s="28"/>
      <c r="L36" s="37"/>
      <c r="M36" s="38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</row>
    <row r="37" spans="1:35" s="23" customFormat="1" ht="18" customHeight="1" x14ac:dyDescent="0.15">
      <c r="A37" s="20"/>
      <c r="B37" s="41" t="s">
        <v>93</v>
      </c>
      <c r="C37" s="41">
        <v>1</v>
      </c>
      <c r="D37" s="41"/>
      <c r="E37" s="46" t="str">
        <f>初始!N33</f>
        <v>40.3238</v>
      </c>
      <c r="F37" s="46"/>
      <c r="G37" s="45" t="str">
        <f>初始!F33</f>
        <v>40.4971</v>
      </c>
      <c r="H37" s="45"/>
      <c r="I37" s="21">
        <f>(E37-G37)/G37*100</f>
        <v>-0.42793187660352144</v>
      </c>
      <c r="J37" s="28">
        <f>AVERAGE(I37:I42)</f>
        <v>-0.80418067226293133</v>
      </c>
      <c r="K37" s="28">
        <f>STDEV(I37:I42)</f>
        <v>0.26743543322212865</v>
      </c>
      <c r="L37" s="37"/>
      <c r="M37" s="38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</row>
    <row r="38" spans="1:35" s="23" customFormat="1" ht="18" customHeight="1" x14ac:dyDescent="0.15">
      <c r="A38" s="20"/>
      <c r="B38" s="41"/>
      <c r="C38" s="41">
        <v>2</v>
      </c>
      <c r="D38" s="41"/>
      <c r="E38" s="46" t="str">
        <f>初始!N34</f>
        <v>39.9455</v>
      </c>
      <c r="F38" s="46"/>
      <c r="G38" s="45" t="str">
        <f>初始!F34</f>
        <v>40.4093</v>
      </c>
      <c r="H38" s="45"/>
      <c r="I38" s="21">
        <f t="shared" si="0"/>
        <v>-1.1477555909159503</v>
      </c>
      <c r="J38" s="28"/>
      <c r="K38" s="28"/>
      <c r="L38" s="37"/>
      <c r="M38" s="38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</row>
    <row r="39" spans="1:35" s="23" customFormat="1" ht="18" customHeight="1" x14ac:dyDescent="0.15">
      <c r="A39" s="20"/>
      <c r="B39" s="41"/>
      <c r="C39" s="41">
        <v>3</v>
      </c>
      <c r="D39" s="41"/>
      <c r="E39" s="46" t="str">
        <f>初始!N35</f>
        <v>41.0716</v>
      </c>
      <c r="F39" s="46"/>
      <c r="G39" s="45" t="str">
        <f>初始!F35</f>
        <v>41.4068</v>
      </c>
      <c r="H39" s="45"/>
      <c r="I39" s="21">
        <f t="shared" si="0"/>
        <v>-0.80952886965426074</v>
      </c>
      <c r="J39" s="28"/>
      <c r="K39" s="28"/>
      <c r="L39" s="37"/>
      <c r="M39" s="38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</row>
    <row r="40" spans="1:35" ht="18" customHeight="1" x14ac:dyDescent="0.15">
      <c r="A40" s="1"/>
      <c r="B40" s="41"/>
      <c r="C40" s="41">
        <v>4</v>
      </c>
      <c r="D40" s="41"/>
      <c r="E40" s="46" t="str">
        <f>初始!N36</f>
        <v>40.5250</v>
      </c>
      <c r="F40" s="46"/>
      <c r="G40" s="45" t="str">
        <f>初始!F36</f>
        <v>40.9178</v>
      </c>
      <c r="H40" s="45"/>
      <c r="I40" s="21">
        <f t="shared" ref="I40" si="1">(E40-G40)/G40*100</f>
        <v>-0.95997341010514037</v>
      </c>
      <c r="J40" s="28"/>
      <c r="K40" s="28"/>
      <c r="L40" s="37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18" customHeight="1" x14ac:dyDescent="0.15">
      <c r="A41" s="1"/>
      <c r="B41" s="41"/>
      <c r="C41" s="41">
        <v>5</v>
      </c>
      <c r="D41" s="41"/>
      <c r="E41" s="46" t="str">
        <f>初始!N37</f>
        <v>40.8403</v>
      </c>
      <c r="F41" s="46"/>
      <c r="G41" s="45" t="str">
        <f>初始!F37</f>
        <v>41.0699</v>
      </c>
      <c r="H41" s="45"/>
      <c r="I41" s="21">
        <f>(E41-G41)/G41*100</f>
        <v>-0.55904689322349899</v>
      </c>
      <c r="J41" s="28"/>
      <c r="K41" s="28"/>
      <c r="L41" s="37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18" customHeight="1" x14ac:dyDescent="0.15">
      <c r="A42" s="1"/>
      <c r="B42" s="41"/>
      <c r="C42" s="41">
        <v>6</v>
      </c>
      <c r="D42" s="41"/>
      <c r="E42" s="46" t="str">
        <f>初始!N38</f>
        <v>40.8433</v>
      </c>
      <c r="F42" s="46"/>
      <c r="G42" s="45" t="str">
        <f>初始!F38</f>
        <v>41.2229</v>
      </c>
      <c r="H42" s="45"/>
      <c r="I42" s="21">
        <f>(E42-G42)/G42*100</f>
        <v>-0.92084739307521668</v>
      </c>
      <c r="J42" s="28"/>
      <c r="K42" s="28"/>
      <c r="L42" s="39"/>
      <c r="M42" s="40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14.1" customHeight="1" x14ac:dyDescent="0.15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ht="14.1" customHeight="1" x14ac:dyDescent="0.15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15" customHeight="1" x14ac:dyDescent="0.15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ht="14.25" customHeight="1" x14ac:dyDescent="0.15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15" x14ac:dyDescent="0.2">
      <c r="A47" s="1"/>
      <c r="B47" s="73" t="s">
        <v>96</v>
      </c>
      <c r="C47" s="74"/>
      <c r="D47" s="12"/>
      <c r="E47" s="12"/>
      <c r="F47" s="12"/>
      <c r="G47" s="73" t="s">
        <v>97</v>
      </c>
      <c r="H47" s="75"/>
      <c r="I47" s="12"/>
      <c r="J47" s="24" t="s">
        <v>408</v>
      </c>
      <c r="K47" s="85" t="s">
        <v>409</v>
      </c>
      <c r="L47" s="85"/>
      <c r="M47" s="85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8.1" customHeight="1" x14ac:dyDescent="0.15">
      <c r="A48" s="1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5" x14ac:dyDescent="0.15">
      <c r="A49" s="1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67" t="s">
        <v>98</v>
      </c>
      <c r="M49" s="68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5" x14ac:dyDescent="0.15">
      <c r="A50" s="1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15" x14ac:dyDescent="0.15">
      <c r="A51" s="1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5" x14ac:dyDescent="0.2">
      <c r="A52" s="1"/>
      <c r="B52" s="80" t="s">
        <v>113</v>
      </c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ht="20.25" customHeight="1" x14ac:dyDescent="0.15">
      <c r="A53" s="1"/>
      <c r="B53" s="71" t="s">
        <v>69</v>
      </c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20.25" customHeight="1" x14ac:dyDescent="0.15">
      <c r="A54" s="1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20.100000000000001" customHeight="1" x14ac:dyDescent="0.15">
      <c r="A55" s="1"/>
      <c r="B55" s="5" t="s">
        <v>71</v>
      </c>
      <c r="C55" s="49" t="str">
        <f>C4</f>
        <v>涡街流量计</v>
      </c>
      <c r="D55" s="49"/>
      <c r="E55" s="49"/>
      <c r="F55" s="49"/>
      <c r="G55" s="49"/>
      <c r="H55" s="49"/>
      <c r="I55" s="47" t="s">
        <v>74</v>
      </c>
      <c r="J55" s="66"/>
      <c r="K55" s="49" t="str">
        <f>K4</f>
        <v>2026E70-40-000029</v>
      </c>
      <c r="L55" s="49"/>
      <c r="M55" s="49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20.100000000000001" customHeight="1" x14ac:dyDescent="0.15">
      <c r="A56" s="1"/>
      <c r="B56" s="5" t="s">
        <v>72</v>
      </c>
      <c r="C56" s="84" t="str">
        <f>C5</f>
        <v>LUGB 015YDMEJCX2BB-401N15NN4</v>
      </c>
      <c r="D56" s="84"/>
      <c r="E56" s="84"/>
      <c r="F56" s="84"/>
      <c r="G56" s="84"/>
      <c r="H56" s="84"/>
      <c r="I56" s="47" t="s">
        <v>75</v>
      </c>
      <c r="J56" s="66"/>
      <c r="K56" s="49" t="str">
        <f>K5</f>
        <v>上海自仪海莱特流量仪表有限公司</v>
      </c>
      <c r="L56" s="49"/>
      <c r="M56" s="49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20.100000000000001" customHeight="1" x14ac:dyDescent="0.15">
      <c r="A57" s="1"/>
      <c r="B57" s="5" t="s">
        <v>73</v>
      </c>
      <c r="C57" s="53" t="str">
        <f>C6</f>
        <v xml:space="preserve">2026010021                   </v>
      </c>
      <c r="D57" s="53"/>
      <c r="E57" s="53"/>
      <c r="F57" s="53"/>
      <c r="G57" s="53"/>
      <c r="H57" s="53"/>
      <c r="I57" s="47" t="s">
        <v>76</v>
      </c>
      <c r="J57" s="48"/>
      <c r="K57" s="14" t="str">
        <f>贮存环境电磁兼容后复测!B6</f>
        <v>(20-21)℃</v>
      </c>
      <c r="L57" s="16" t="s">
        <v>77</v>
      </c>
      <c r="M57" s="14" t="str">
        <f>贮存环境电磁兼容后复测!E6</f>
        <v>(68-70)%RH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ht="20.100000000000001" customHeight="1" x14ac:dyDescent="0.15">
      <c r="A58" s="1"/>
      <c r="B58" s="5" t="s">
        <v>78</v>
      </c>
      <c r="C58" s="49" t="s">
        <v>91</v>
      </c>
      <c r="D58" s="49"/>
      <c r="E58" s="49"/>
      <c r="F58" s="49"/>
      <c r="G58" s="82" t="s">
        <v>70</v>
      </c>
      <c r="H58" s="83"/>
      <c r="I58" s="49" t="str">
        <f>I7</f>
        <v xml:space="preserve"> ( 3.2～32 )m³/h</v>
      </c>
      <c r="J58" s="49"/>
      <c r="K58" s="64"/>
      <c r="L58" s="64"/>
      <c r="M58" s="6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20.100000000000001" customHeight="1" x14ac:dyDescent="0.15">
      <c r="A59" s="1"/>
      <c r="B59" s="5" t="s">
        <v>79</v>
      </c>
      <c r="C59" s="63" t="str">
        <f>C8</f>
        <v>张衡路1500号流量大力值楼101室</v>
      </c>
      <c r="D59" s="63"/>
      <c r="E59" s="63"/>
      <c r="F59" s="63"/>
      <c r="G59" s="49"/>
      <c r="H59" s="49"/>
      <c r="I59" s="49"/>
      <c r="J59" s="3" t="str">
        <f>J8</f>
        <v>技术依据：</v>
      </c>
      <c r="K59" s="49" t="str">
        <f>K8</f>
        <v>JJG 1029-2007附录A</v>
      </c>
      <c r="L59" s="49"/>
      <c r="M59" s="49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ht="20.100000000000001" customHeight="1" x14ac:dyDescent="0.15">
      <c r="A60" s="1"/>
      <c r="B60" s="5" t="s">
        <v>89</v>
      </c>
      <c r="C60" s="77" t="s">
        <v>369</v>
      </c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20.100000000000001" customHeight="1" x14ac:dyDescent="0.15">
      <c r="A61" s="1"/>
      <c r="B61" s="5" t="s">
        <v>95</v>
      </c>
      <c r="C61" s="49" t="s">
        <v>92</v>
      </c>
      <c r="D61" s="49"/>
      <c r="E61" s="12" t="str">
        <f>E14</f>
        <v>32</v>
      </c>
      <c r="F61" s="4" t="s">
        <v>85</v>
      </c>
      <c r="G61" s="49" t="s">
        <v>93</v>
      </c>
      <c r="H61" s="49"/>
      <c r="I61" s="12" t="str">
        <f>I14</f>
        <v>3.2</v>
      </c>
      <c r="J61" s="4" t="s">
        <v>85</v>
      </c>
      <c r="K61" s="13" t="s">
        <v>94</v>
      </c>
      <c r="L61" s="12" t="str">
        <f>L14</f>
        <v>6.4</v>
      </c>
      <c r="M61" s="4" t="s">
        <v>85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20.100000000000001" customHeight="1" x14ac:dyDescent="0.15">
      <c r="A62" s="1"/>
      <c r="B62" s="54" t="s">
        <v>100</v>
      </c>
      <c r="C62" s="29" t="s">
        <v>99</v>
      </c>
      <c r="D62" s="36"/>
      <c r="E62" s="57" t="s">
        <v>102</v>
      </c>
      <c r="F62" s="58"/>
      <c r="G62" s="57" t="s">
        <v>103</v>
      </c>
      <c r="H62" s="58"/>
      <c r="I62" s="41" t="s">
        <v>104</v>
      </c>
      <c r="J62" s="57" t="s">
        <v>112</v>
      </c>
      <c r="K62" s="58"/>
      <c r="L62" s="41" t="s">
        <v>111</v>
      </c>
      <c r="M62" s="4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20.100000000000001" customHeight="1" x14ac:dyDescent="0.15">
      <c r="A63" s="1"/>
      <c r="B63" s="55"/>
      <c r="C63" s="37"/>
      <c r="D63" s="38"/>
      <c r="E63" s="59"/>
      <c r="F63" s="60"/>
      <c r="G63" s="59"/>
      <c r="H63" s="60"/>
      <c r="I63" s="76"/>
      <c r="J63" s="59"/>
      <c r="K63" s="60"/>
      <c r="L63" s="41"/>
      <c r="M63" s="4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20.100000000000001" customHeight="1" x14ac:dyDescent="0.15">
      <c r="A64" s="1"/>
      <c r="B64" s="55"/>
      <c r="C64" s="37"/>
      <c r="D64" s="38"/>
      <c r="E64" s="61"/>
      <c r="F64" s="62"/>
      <c r="G64" s="61"/>
      <c r="H64" s="62"/>
      <c r="I64" s="76"/>
      <c r="J64" s="61"/>
      <c r="K64" s="62"/>
      <c r="L64" s="41"/>
      <c r="M64" s="4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20.100000000000001" customHeight="1" x14ac:dyDescent="0.15">
      <c r="A65" s="1"/>
      <c r="B65" s="56"/>
      <c r="C65" s="39"/>
      <c r="D65" s="40"/>
      <c r="E65" s="41" t="s">
        <v>101</v>
      </c>
      <c r="F65" s="41"/>
      <c r="G65" s="41" t="s">
        <v>101</v>
      </c>
      <c r="H65" s="41"/>
      <c r="I65" s="10" t="s">
        <v>106</v>
      </c>
      <c r="J65" s="41" t="s">
        <v>106</v>
      </c>
      <c r="K65" s="41"/>
      <c r="L65" s="41"/>
      <c r="M65" s="4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20.100000000000001" customHeight="1" x14ac:dyDescent="0.15">
      <c r="A66" s="1"/>
      <c r="B66" s="42" t="s">
        <v>93</v>
      </c>
      <c r="C66" s="41">
        <v>1</v>
      </c>
      <c r="D66" s="41"/>
      <c r="E66" s="46" t="str">
        <f>贮存环境电磁兼容后复测!N15</f>
        <v>53.4588</v>
      </c>
      <c r="F66" s="46"/>
      <c r="G66" s="45" t="str">
        <f>贮存环境电磁兼容后复测!F15</f>
        <v>54.2484</v>
      </c>
      <c r="H66" s="45"/>
      <c r="I66" s="15">
        <f>(E66-G66)/G66*100</f>
        <v>-1.4555267989470659</v>
      </c>
      <c r="J66" s="28">
        <f>AVERAGE(I66:I68)</f>
        <v>-1.4141987860301055</v>
      </c>
      <c r="K66" s="28"/>
      <c r="L66" s="65" t="s">
        <v>370</v>
      </c>
      <c r="M66" s="36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20.100000000000001" customHeight="1" x14ac:dyDescent="0.15">
      <c r="A67" s="1"/>
      <c r="B67" s="43"/>
      <c r="C67" s="41">
        <v>2</v>
      </c>
      <c r="D67" s="41"/>
      <c r="E67" s="46" t="str">
        <f>贮存环境电磁兼容后复测!N16</f>
        <v>53.3507</v>
      </c>
      <c r="F67" s="46"/>
      <c r="G67" s="45" t="str">
        <f>贮存环境电磁兼容后复测!F16</f>
        <v>54.1191</v>
      </c>
      <c r="H67" s="45"/>
      <c r="I67" s="15">
        <f t="shared" ref="I67:I68" si="2">(E67-G67)/G67*100</f>
        <v>-1.4198314458296604</v>
      </c>
      <c r="J67" s="28"/>
      <c r="K67" s="28"/>
      <c r="L67" s="37"/>
      <c r="M67" s="3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20.100000000000001" customHeight="1" x14ac:dyDescent="0.15">
      <c r="A68" s="1"/>
      <c r="B68" s="44"/>
      <c r="C68" s="41">
        <v>3</v>
      </c>
      <c r="D68" s="41"/>
      <c r="E68" s="46" t="str">
        <f>贮存环境电磁兼容后复测!N17</f>
        <v>54.0474</v>
      </c>
      <c r="F68" s="46"/>
      <c r="G68" s="45" t="str">
        <f>贮存环境电磁兼容后复测!F17</f>
        <v>54.7966</v>
      </c>
      <c r="H68" s="45"/>
      <c r="I68" s="15">
        <f t="shared" si="2"/>
        <v>-1.3672381133135902</v>
      </c>
      <c r="J68" s="28"/>
      <c r="K68" s="28"/>
      <c r="L68" s="37"/>
      <c r="M68" s="3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20.100000000000001" customHeight="1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20.100000000000001" customHeight="1" x14ac:dyDescent="0.15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20.100000000000001" customHeight="1" x14ac:dyDescent="0.15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20.100000000000001" customHeight="1" x14ac:dyDescent="0.15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20.100000000000001" customHeight="1" x14ac:dyDescent="0.15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20.100000000000001" customHeight="1" x14ac:dyDescent="0.15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20.100000000000001" customHeight="1" x14ac:dyDescent="0.15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s="23" customFormat="1" ht="20.100000000000001" customHeight="1" x14ac:dyDescent="0.15">
      <c r="A76" s="20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</row>
    <row r="77" spans="1:35" s="23" customFormat="1" ht="20.100000000000001" customHeight="1" x14ac:dyDescent="0.15">
      <c r="A77" s="20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</row>
    <row r="78" spans="1:35" s="23" customFormat="1" ht="20.100000000000001" customHeight="1" x14ac:dyDescent="0.15">
      <c r="A78" s="20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</row>
    <row r="79" spans="1:35" s="23" customFormat="1" ht="20.100000000000001" customHeight="1" x14ac:dyDescent="0.15">
      <c r="A79" s="20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</row>
    <row r="80" spans="1:35" s="23" customFormat="1" ht="20.100000000000001" customHeight="1" x14ac:dyDescent="0.15">
      <c r="A80" s="20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</row>
    <row r="81" spans="1:35" s="23" customFormat="1" ht="20.100000000000001" customHeight="1" x14ac:dyDescent="0.15">
      <c r="A81" s="20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</row>
    <row r="82" spans="1:35" ht="20.100000000000001" customHeight="1" x14ac:dyDescent="0.15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20.100000000000001" customHeight="1" x14ac:dyDescent="0.15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20.100000000000001" customHeight="1" x14ac:dyDescent="0.15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20.100000000000001" customHeight="1" x14ac:dyDescent="0.15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20.100000000000001" customHeight="1" x14ac:dyDescent="0.15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20.100000000000001" customHeight="1" x14ac:dyDescent="0.15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20.100000000000001" customHeight="1" x14ac:dyDescent="0.15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20.100000000000001" customHeight="1" x14ac:dyDescent="0.15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20.100000000000001" customHeight="1" x14ac:dyDescent="0.15">
      <c r="A90" s="1"/>
      <c r="B90" s="73" t="s">
        <v>96</v>
      </c>
      <c r="C90" s="74"/>
      <c r="D90" s="12"/>
      <c r="E90" s="12"/>
      <c r="F90" s="12"/>
      <c r="G90" s="73" t="s">
        <v>97</v>
      </c>
      <c r="H90" s="75"/>
      <c r="I90" s="12"/>
      <c r="J90" s="24" t="s">
        <v>408</v>
      </c>
      <c r="K90" s="79" t="s">
        <v>410</v>
      </c>
      <c r="L90" s="79"/>
      <c r="M90" s="79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x14ac:dyDescent="0.15">
      <c r="A91" s="1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x14ac:dyDescent="0.15">
      <c r="A92" s="1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67" t="s">
        <v>98</v>
      </c>
      <c r="M92" s="68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5" x14ac:dyDescent="0.15">
      <c r="A93" s="1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69"/>
      <c r="M93" s="70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5" x14ac:dyDescent="0.15">
      <c r="A94" s="1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1"/>
      <c r="M94" s="1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5" customHeight="1" x14ac:dyDescent="0.1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5" customHeight="1" x14ac:dyDescent="0.1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x14ac:dyDescent="0.1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20.25" customHeight="1" x14ac:dyDescent="0.1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20.25" customHeight="1" x14ac:dyDescent="0.1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20.100000000000001" customHeight="1" x14ac:dyDescent="0.1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20.100000000000001" customHeight="1" x14ac:dyDescent="0.1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20.100000000000001" customHeight="1" x14ac:dyDescent="0.1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20.100000000000001" customHeight="1" x14ac:dyDescent="0.1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20.100000000000001" customHeight="1" x14ac:dyDescent="0.1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20.100000000000001" customHeight="1" x14ac:dyDescent="0.1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20.100000000000001" customHeight="1" x14ac:dyDescent="0.1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20.100000000000001" customHeight="1" x14ac:dyDescent="0.1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20.100000000000001" customHeight="1" x14ac:dyDescent="0.1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20.100000000000001" customHeight="1" x14ac:dyDescent="0.1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20.100000000000001" customHeight="1" x14ac:dyDescent="0.1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20.100000000000001" customHeight="1" x14ac:dyDescent="0.1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20.100000000000001" customHeight="1" x14ac:dyDescent="0.1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20.100000000000001" customHeight="1" x14ac:dyDescent="0.1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20.100000000000001" customHeight="1" x14ac:dyDescent="0.1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20.100000000000001" customHeight="1" x14ac:dyDescent="0.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t="20.100000000000001" customHeight="1" x14ac:dyDescent="0.1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ht="20.100000000000001" customHeight="1" x14ac:dyDescent="0.1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ht="20.100000000000001" customHeight="1" x14ac:dyDescent="0.1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ht="20.100000000000001" customHeight="1" x14ac:dyDescent="0.1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ht="20.100000000000001" customHeight="1" x14ac:dyDescent="0.1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ht="20.100000000000001" customHeight="1" x14ac:dyDescent="0.1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t="20.100000000000001" customHeight="1" x14ac:dyDescent="0.1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t="20.100000000000001" customHeight="1" x14ac:dyDescent="0.1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t="20.100000000000001" customHeight="1" x14ac:dyDescent="0.1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t="20.100000000000001" customHeight="1" x14ac:dyDescent="0.1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t="20.100000000000001" customHeight="1" x14ac:dyDescent="0.1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t="20.100000000000001" customHeight="1" x14ac:dyDescent="0.1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t="20.100000000000001" customHeight="1" x14ac:dyDescent="0.1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t="20.100000000000001" customHeight="1" x14ac:dyDescent="0.1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t="20.100000000000001" customHeight="1" x14ac:dyDescent="0.1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t="20.100000000000001" customHeight="1" x14ac:dyDescent="0.1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20.100000000000001" customHeight="1" x14ac:dyDescent="0.1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t="20.100000000000001" customHeight="1" x14ac:dyDescent="0.1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t="20.100000000000001" customHeight="1" x14ac:dyDescent="0.1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ht="20.100000000000001" customHeight="1" x14ac:dyDescent="0.1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20.100000000000001" customHeight="1" x14ac:dyDescent="0.1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x14ac:dyDescent="0.1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15" customHeight="1" x14ac:dyDescent="0.1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x14ac:dyDescent="0.1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x14ac:dyDescent="0.1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x14ac:dyDescent="0.1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x14ac:dyDescent="0.1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ht="20.25" customHeight="1" x14ac:dyDescent="0.1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ht="20.25" customHeight="1" x14ac:dyDescent="0.1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20.100000000000001" customHeight="1" x14ac:dyDescent="0.1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20.100000000000001" customHeight="1" x14ac:dyDescent="0.1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20.100000000000001" customHeight="1" x14ac:dyDescent="0.1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20.100000000000001" customHeight="1" x14ac:dyDescent="0.1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20.100000000000001" customHeight="1" x14ac:dyDescent="0.1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20.100000000000001" customHeight="1" x14ac:dyDescent="0.1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20.100000000000001" customHeight="1" x14ac:dyDescent="0.1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20.100000000000001" customHeight="1" x14ac:dyDescent="0.1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20.100000000000001" customHeight="1" x14ac:dyDescent="0.1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20.100000000000001" customHeight="1" x14ac:dyDescent="0.1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20.100000000000001" customHeight="1" x14ac:dyDescent="0.1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20.100000000000001" customHeight="1" x14ac:dyDescent="0.1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20.100000000000001" customHeight="1" x14ac:dyDescent="0.1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20.100000000000001" customHeight="1" x14ac:dyDescent="0.1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20.100000000000001" customHeight="1" x14ac:dyDescent="0.1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20.100000000000001" customHeight="1" x14ac:dyDescent="0.1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20.100000000000001" customHeight="1" x14ac:dyDescent="0.1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20.100000000000001" customHeight="1" x14ac:dyDescent="0.1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20.100000000000001" customHeight="1" x14ac:dyDescent="0.1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20.100000000000001" customHeight="1" x14ac:dyDescent="0.1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20.100000000000001" customHeight="1" x14ac:dyDescent="0.1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20.100000000000001" customHeight="1" x14ac:dyDescent="0.1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20.100000000000001" customHeight="1" x14ac:dyDescent="0.1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20.100000000000001" customHeight="1" x14ac:dyDescent="0.1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20.100000000000001" customHeight="1" x14ac:dyDescent="0.1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20.100000000000001" customHeight="1" x14ac:dyDescent="0.1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20.100000000000001" customHeight="1" x14ac:dyDescent="0.1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</row>
    <row r="172" spans="1:35" ht="20.100000000000001" customHeight="1" x14ac:dyDescent="0.1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</row>
    <row r="173" spans="1:35" ht="20.100000000000001" customHeight="1" x14ac:dyDescent="0.1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</row>
    <row r="174" spans="1:35" ht="20.100000000000001" customHeight="1" x14ac:dyDescent="0.1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</row>
    <row r="175" spans="1:35" ht="20.100000000000001" customHeight="1" x14ac:dyDescent="0.1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</row>
    <row r="176" spans="1:35" ht="20.100000000000001" customHeight="1" x14ac:dyDescent="0.1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</row>
    <row r="177" spans="1:14" ht="20.100000000000001" customHeight="1" x14ac:dyDescent="0.1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</row>
    <row r="178" spans="1:14" ht="20.100000000000001" customHeight="1" x14ac:dyDescent="0.1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</row>
    <row r="179" spans="1:14" ht="20.100000000000001" customHeight="1" x14ac:dyDescent="0.1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</row>
    <row r="180" spans="1:14" ht="20.100000000000001" customHeight="1" x14ac:dyDescent="0.1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</row>
    <row r="181" spans="1:14" ht="20.100000000000001" customHeight="1" x14ac:dyDescent="0.1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</row>
    <row r="182" spans="1:14" ht="20.100000000000001" customHeight="1" x14ac:dyDescent="0.1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</row>
    <row r="183" spans="1:14" ht="14.25" customHeight="1" x14ac:dyDescent="0.1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</row>
    <row r="184" spans="1:14" ht="15" customHeight="1" x14ac:dyDescent="0.1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</row>
    <row r="185" spans="1:14" x14ac:dyDescent="0.1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</row>
    <row r="186" spans="1:14" x14ac:dyDescent="0.1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</row>
    <row r="187" spans="1:14" x14ac:dyDescent="0.1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</row>
    <row r="188" spans="1:14" x14ac:dyDescent="0.1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</row>
    <row r="189" spans="1:14" x14ac:dyDescent="0.1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</row>
    <row r="190" spans="1:14" x14ac:dyDescent="0.1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</row>
    <row r="191" spans="1:14" x14ac:dyDescent="0.1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</row>
    <row r="192" spans="1:14" x14ac:dyDescent="0.1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</row>
    <row r="193" spans="1:14" x14ac:dyDescent="0.1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</row>
    <row r="194" spans="1:14" x14ac:dyDescent="0.1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</row>
    <row r="195" spans="1:14" x14ac:dyDescent="0.1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</row>
    <row r="196" spans="1:14" x14ac:dyDescent="0.1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</row>
    <row r="197" spans="1:14" x14ac:dyDescent="0.1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</row>
    <row r="198" spans="1:14" x14ac:dyDescent="0.1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</row>
    <row r="199" spans="1:14" x14ac:dyDescent="0.1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</row>
    <row r="200" spans="1:14" x14ac:dyDescent="0.1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</row>
    <row r="201" spans="1:14" x14ac:dyDescent="0.1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</row>
    <row r="202" spans="1:14" x14ac:dyDescent="0.1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</row>
    <row r="203" spans="1:14" x14ac:dyDescent="0.1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</row>
    <row r="204" spans="1:14" x14ac:dyDescent="0.1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</row>
    <row r="205" spans="1:14" x14ac:dyDescent="0.1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</row>
    <row r="206" spans="1:14" x14ac:dyDescent="0.1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</row>
    <row r="207" spans="1:14" x14ac:dyDescent="0.1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</row>
    <row r="208" spans="1:14" x14ac:dyDescent="0.1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</row>
    <row r="209" spans="1:14" x14ac:dyDescent="0.1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</row>
    <row r="210" spans="1:14" x14ac:dyDescent="0.1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</row>
    <row r="211" spans="1:14" x14ac:dyDescent="0.1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</row>
    <row r="212" spans="1:14" x14ac:dyDescent="0.1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</row>
    <row r="213" spans="1:14" x14ac:dyDescent="0.1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</row>
    <row r="214" spans="1:14" x14ac:dyDescent="0.1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</row>
    <row r="215" spans="1:14" x14ac:dyDescent="0.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</row>
    <row r="216" spans="1:14" x14ac:dyDescent="0.1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</row>
    <row r="217" spans="1:14" x14ac:dyDescent="0.1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</row>
    <row r="218" spans="1:14" x14ac:dyDescent="0.1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</row>
    <row r="219" spans="1:14" x14ac:dyDescent="0.1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</row>
    <row r="220" spans="1:14" x14ac:dyDescent="0.1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</row>
    <row r="221" spans="1:14" x14ac:dyDescent="0.1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</row>
    <row r="222" spans="1:14" x14ac:dyDescent="0.1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</row>
    <row r="223" spans="1:14" x14ac:dyDescent="0.1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</row>
    <row r="224" spans="1:14" x14ac:dyDescent="0.1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</row>
    <row r="225" spans="1:14" x14ac:dyDescent="0.1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</row>
    <row r="226" spans="1:14" x14ac:dyDescent="0.1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</row>
    <row r="227" spans="1:14" x14ac:dyDescent="0.1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</row>
    <row r="228" spans="1:14" x14ac:dyDescent="0.1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</row>
    <row r="229" spans="1:14" x14ac:dyDescent="0.1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</row>
    <row r="230" spans="1:14" x14ac:dyDescent="0.1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</row>
    <row r="231" spans="1:14" x14ac:dyDescent="0.1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</row>
    <row r="232" spans="1:14" x14ac:dyDescent="0.1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</row>
    <row r="233" spans="1:14" x14ac:dyDescent="0.1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</row>
    <row r="234" spans="1:14" x14ac:dyDescent="0.1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</row>
    <row r="235" spans="1:14" x14ac:dyDescent="0.1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</row>
    <row r="236" spans="1:14" x14ac:dyDescent="0.1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</row>
    <row r="237" spans="1:14" x14ac:dyDescent="0.1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</row>
    <row r="238" spans="1:14" x14ac:dyDescent="0.1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</row>
    <row r="239" spans="1:14" x14ac:dyDescent="0.1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</row>
    <row r="240" spans="1:14" x14ac:dyDescent="0.1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</row>
    <row r="241" spans="1:14" x14ac:dyDescent="0.1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</row>
    <row r="242" spans="1:14" x14ac:dyDescent="0.1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</row>
    <row r="243" spans="1:14" x14ac:dyDescent="0.1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</row>
    <row r="244" spans="1:14" x14ac:dyDescent="0.1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</row>
    <row r="245" spans="1:14" x14ac:dyDescent="0.1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</row>
    <row r="246" spans="1:14" x14ac:dyDescent="0.1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</row>
    <row r="247" spans="1:14" x14ac:dyDescent="0.1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</row>
    <row r="248" spans="1:14" x14ac:dyDescent="0.1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</row>
    <row r="249" spans="1:14" x14ac:dyDescent="0.1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</row>
    <row r="250" spans="1:14" x14ac:dyDescent="0.1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</row>
    <row r="251" spans="1:14" x14ac:dyDescent="0.1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</row>
    <row r="252" spans="1:14" x14ac:dyDescent="0.1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</row>
    <row r="253" spans="1:14" x14ac:dyDescent="0.1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</row>
    <row r="254" spans="1:14" x14ac:dyDescent="0.1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</row>
    <row r="255" spans="1:14" x14ac:dyDescent="0.1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</row>
    <row r="256" spans="1:14" x14ac:dyDescent="0.1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</row>
    <row r="257" spans="1:14" x14ac:dyDescent="0.1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</row>
  </sheetData>
  <mergeCells count="169">
    <mergeCell ref="K47:M47"/>
    <mergeCell ref="K90:M90"/>
    <mergeCell ref="K15:K17"/>
    <mergeCell ref="C61:D61"/>
    <mergeCell ref="G61:H61"/>
    <mergeCell ref="L49:M49"/>
    <mergeCell ref="E21:F21"/>
    <mergeCell ref="C42:D42"/>
    <mergeCell ref="G40:H40"/>
    <mergeCell ref="G42:H42"/>
    <mergeCell ref="G41:H41"/>
    <mergeCell ref="B47:C47"/>
    <mergeCell ref="C19:D19"/>
    <mergeCell ref="C20:D20"/>
    <mergeCell ref="C21:D21"/>
    <mergeCell ref="C22:D22"/>
    <mergeCell ref="C23:D23"/>
    <mergeCell ref="C24:D24"/>
    <mergeCell ref="C15:D18"/>
    <mergeCell ref="I15:I17"/>
    <mergeCell ref="J15:J17"/>
    <mergeCell ref="C26:D26"/>
    <mergeCell ref="E22:F22"/>
    <mergeCell ref="E23:F23"/>
    <mergeCell ref="G47:H47"/>
    <mergeCell ref="E41:F41"/>
    <mergeCell ref="E20:F20"/>
    <mergeCell ref="E19:F19"/>
    <mergeCell ref="E15:F17"/>
    <mergeCell ref="G15:H17"/>
    <mergeCell ref="C38:D38"/>
    <mergeCell ref="C39:D39"/>
    <mergeCell ref="J31:J36"/>
    <mergeCell ref="J37:J42"/>
    <mergeCell ref="C40:D40"/>
    <mergeCell ref="C41:D41"/>
    <mergeCell ref="I58:J58"/>
    <mergeCell ref="C67:D67"/>
    <mergeCell ref="B1:M1"/>
    <mergeCell ref="I4:J4"/>
    <mergeCell ref="K4:M4"/>
    <mergeCell ref="C4:H4"/>
    <mergeCell ref="G25:H25"/>
    <mergeCell ref="C5:H5"/>
    <mergeCell ref="I5:J5"/>
    <mergeCell ref="G28:H28"/>
    <mergeCell ref="G29:H29"/>
    <mergeCell ref="C28:D28"/>
    <mergeCell ref="C29:D29"/>
    <mergeCell ref="C30:D30"/>
    <mergeCell ref="K5:M5"/>
    <mergeCell ref="E24:F24"/>
    <mergeCell ref="E25:F25"/>
    <mergeCell ref="C12:E12"/>
    <mergeCell ref="G30:H30"/>
    <mergeCell ref="G27:H27"/>
    <mergeCell ref="C7:F7"/>
    <mergeCell ref="G7:H7"/>
    <mergeCell ref="L92:M92"/>
    <mergeCell ref="L93:M93"/>
    <mergeCell ref="B2:M3"/>
    <mergeCell ref="B90:C90"/>
    <mergeCell ref="G90:H90"/>
    <mergeCell ref="I62:I64"/>
    <mergeCell ref="J66:K68"/>
    <mergeCell ref="C13:F13"/>
    <mergeCell ref="B53:M54"/>
    <mergeCell ref="B15:B18"/>
    <mergeCell ref="C60:M60"/>
    <mergeCell ref="C9:E9"/>
    <mergeCell ref="C10:M10"/>
    <mergeCell ref="C11:M11"/>
    <mergeCell ref="B52:M52"/>
    <mergeCell ref="G58:H58"/>
    <mergeCell ref="K55:M55"/>
    <mergeCell ref="C56:H56"/>
    <mergeCell ref="I56:J56"/>
    <mergeCell ref="E67:F67"/>
    <mergeCell ref="G67:H67"/>
    <mergeCell ref="E68:F68"/>
    <mergeCell ref="G68:H68"/>
    <mergeCell ref="B62:B65"/>
    <mergeCell ref="C62:D65"/>
    <mergeCell ref="E62:F64"/>
    <mergeCell ref="G62:H64"/>
    <mergeCell ref="J62:K64"/>
    <mergeCell ref="J65:K65"/>
    <mergeCell ref="B66:B68"/>
    <mergeCell ref="C31:D31"/>
    <mergeCell ref="C32:D32"/>
    <mergeCell ref="C33:D33"/>
    <mergeCell ref="C68:D68"/>
    <mergeCell ref="C59:I59"/>
    <mergeCell ref="K59:M59"/>
    <mergeCell ref="K58:M58"/>
    <mergeCell ref="L62:M65"/>
    <mergeCell ref="E65:F65"/>
    <mergeCell ref="G65:H65"/>
    <mergeCell ref="C66:D66"/>
    <mergeCell ref="E66:F66"/>
    <mergeCell ref="G66:H66"/>
    <mergeCell ref="L66:M68"/>
    <mergeCell ref="I55:J55"/>
    <mergeCell ref="C55:H55"/>
    <mergeCell ref="C58:F58"/>
    <mergeCell ref="K8:M8"/>
    <mergeCell ref="K7:M7"/>
    <mergeCell ref="G9:M9"/>
    <mergeCell ref="C6:H6"/>
    <mergeCell ref="I57:J57"/>
    <mergeCell ref="C57:H57"/>
    <mergeCell ref="K56:M56"/>
    <mergeCell ref="G18:H18"/>
    <mergeCell ref="J19:J24"/>
    <mergeCell ref="J25:J30"/>
    <mergeCell ref="C27:D27"/>
    <mergeCell ref="E29:F29"/>
    <mergeCell ref="E30:F30"/>
    <mergeCell ref="G20:H20"/>
    <mergeCell ref="G21:H21"/>
    <mergeCell ref="G22:H22"/>
    <mergeCell ref="G23:H23"/>
    <mergeCell ref="E27:F27"/>
    <mergeCell ref="E28:F28"/>
    <mergeCell ref="G26:H26"/>
    <mergeCell ref="E26:F26"/>
    <mergeCell ref="C25:D25"/>
    <mergeCell ref="E42:F42"/>
    <mergeCell ref="E40:F40"/>
    <mergeCell ref="E32:F32"/>
    <mergeCell ref="E33:F33"/>
    <mergeCell ref="E34:F34"/>
    <mergeCell ref="E35:F35"/>
    <mergeCell ref="E36:F36"/>
    <mergeCell ref="E37:F37"/>
    <mergeCell ref="E38:F38"/>
    <mergeCell ref="E39:F39"/>
    <mergeCell ref="I6:J6"/>
    <mergeCell ref="C8:I8"/>
    <mergeCell ref="I7:J7"/>
    <mergeCell ref="G24:H24"/>
    <mergeCell ref="G19:H19"/>
    <mergeCell ref="E18:F18"/>
    <mergeCell ref="C14:D14"/>
    <mergeCell ref="G14:H14"/>
    <mergeCell ref="K19:K24"/>
    <mergeCell ref="K25:K30"/>
    <mergeCell ref="K31:K36"/>
    <mergeCell ref="K37:K42"/>
    <mergeCell ref="L15:M18"/>
    <mergeCell ref="L19:M42"/>
    <mergeCell ref="B31:B36"/>
    <mergeCell ref="B25:B30"/>
    <mergeCell ref="B19:B24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C34:D34"/>
    <mergeCell ref="C35:D35"/>
    <mergeCell ref="C36:D36"/>
    <mergeCell ref="C37:D37"/>
    <mergeCell ref="B37:B42"/>
    <mergeCell ref="E31:F31"/>
  </mergeCells>
  <phoneticPr fontId="3" type="noConversion"/>
  <pageMargins left="0.15748031496062992" right="0.43307086614173229" top="0.27559055118110237" bottom="0.47244094488188981" header="0.15748031496062992" footer="1.2598425196850394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初始</vt:lpstr>
      <vt:lpstr>贮存环境电磁兼容后复测</vt:lpstr>
      <vt:lpstr>打印页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2026-10-20T00:40:41Z</cp:lastPrinted>
  <dcterms:created xsi:type="dcterms:W3CDTF">2025-09-05T03:03:06Z</dcterms:created>
  <dcterms:modified xsi:type="dcterms:W3CDTF">2026-10-21T02:18:56Z</dcterms:modified>
</cp:coreProperties>
</file>