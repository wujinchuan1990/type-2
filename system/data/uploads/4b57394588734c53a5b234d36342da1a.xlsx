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30" windowWidth="15360" windowHeight="11490" activeTab="9"/>
  </bookViews>
  <sheets>
    <sheet name="降流量" sheetId="1" r:id="rId1"/>
    <sheet name="升流量" sheetId="4" r:id="rId2"/>
    <sheet name="重复性" sheetId="5" r:id="rId3"/>
    <sheet name="用户模式" sheetId="6" r:id="rId4"/>
    <sheet name="温度适应性" sheetId="8" r:id="rId5"/>
    <sheet name="环适复测" sheetId="7" r:id="rId6"/>
    <sheet name="流体扰动" sheetId="9" r:id="rId7"/>
    <sheet name="耐久性复测" sheetId="10" r:id="rId8"/>
    <sheet name="振动跌落后" sheetId="11" r:id="rId9"/>
    <sheet name="打印页" sheetId="3" r:id="rId10"/>
  </sheets>
  <calcPr calcId="144525"/>
</workbook>
</file>

<file path=xl/calcChain.xml><?xml version="1.0" encoding="utf-8"?>
<calcChain xmlns="http://schemas.openxmlformats.org/spreadsheetml/2006/main">
  <c r="L319" i="3" l="1"/>
  <c r="L277" i="3"/>
  <c r="L220" i="3"/>
  <c r="L218" i="3"/>
  <c r="L216" i="3"/>
  <c r="G19" i="8" l="1"/>
  <c r="F19" i="8"/>
  <c r="F18" i="8"/>
  <c r="G18" i="8" s="1"/>
  <c r="G17" i="8"/>
  <c r="F17" i="8"/>
  <c r="F16" i="8"/>
  <c r="G16" i="8" s="1"/>
  <c r="G15" i="8"/>
  <c r="F15" i="8"/>
  <c r="F14" i="8"/>
  <c r="G14" i="8" s="1"/>
  <c r="G9" i="8"/>
  <c r="F9" i="8"/>
  <c r="F8" i="8"/>
  <c r="G8" i="8" s="1"/>
  <c r="G7" i="8"/>
  <c r="F7" i="8"/>
  <c r="F6" i="8"/>
  <c r="G6" i="8" s="1"/>
  <c r="G5" i="8"/>
  <c r="F5" i="8"/>
  <c r="F4" i="8"/>
  <c r="G4" i="8" s="1"/>
  <c r="J2" i="6"/>
  <c r="I2" i="6"/>
  <c r="H2" i="6"/>
  <c r="D2" i="6"/>
  <c r="K287" i="3" l="1"/>
  <c r="K243" i="3"/>
  <c r="K198" i="3"/>
  <c r="K153" i="3"/>
  <c r="K108" i="3"/>
  <c r="K63" i="3"/>
  <c r="G321" i="3" l="1"/>
  <c r="G320" i="3"/>
  <c r="G319" i="3"/>
  <c r="G318" i="3"/>
  <c r="G317" i="3"/>
  <c r="G316" i="3"/>
  <c r="G315" i="3"/>
  <c r="G314" i="3"/>
  <c r="G313" i="3"/>
  <c r="G312" i="3"/>
  <c r="G322" i="3"/>
  <c r="G311" i="3"/>
  <c r="E321" i="3"/>
  <c r="E320" i="3"/>
  <c r="E319" i="3"/>
  <c r="E318" i="3"/>
  <c r="E317" i="3"/>
  <c r="I317" i="3" s="1"/>
  <c r="E316" i="3"/>
  <c r="E315" i="3"/>
  <c r="E314" i="3"/>
  <c r="E313" i="3"/>
  <c r="E312" i="3"/>
  <c r="E322" i="3"/>
  <c r="I322" i="3" s="1"/>
  <c r="E311" i="3"/>
  <c r="G310" i="3"/>
  <c r="G309" i="3"/>
  <c r="G307" i="3"/>
  <c r="G306" i="3"/>
  <c r="G305" i="3"/>
  <c r="G304" i="3"/>
  <c r="G303" i="3"/>
  <c r="G302" i="3"/>
  <c r="G301" i="3"/>
  <c r="G300" i="3"/>
  <c r="G308" i="3"/>
  <c r="G299" i="3"/>
  <c r="E310" i="3"/>
  <c r="I310" i="3" s="1"/>
  <c r="E309" i="3"/>
  <c r="E307" i="3"/>
  <c r="E306" i="3"/>
  <c r="I306" i="3" s="1"/>
  <c r="E305" i="3"/>
  <c r="I305" i="3" s="1"/>
  <c r="J305" i="3" s="1"/>
  <c r="E304" i="3"/>
  <c r="E303" i="3"/>
  <c r="E302" i="3"/>
  <c r="E301" i="3"/>
  <c r="I301" i="3" s="1"/>
  <c r="E300" i="3"/>
  <c r="E308" i="3"/>
  <c r="E299" i="3"/>
  <c r="I321" i="3"/>
  <c r="L294" i="3"/>
  <c r="I294" i="3"/>
  <c r="E294" i="3"/>
  <c r="I291" i="3"/>
  <c r="K289" i="3"/>
  <c r="K288" i="3"/>
  <c r="C291" i="3"/>
  <c r="C290" i="3"/>
  <c r="C289" i="3"/>
  <c r="C288" i="3"/>
  <c r="J321" i="3" l="1"/>
  <c r="I319" i="3"/>
  <c r="I316" i="3"/>
  <c r="I299" i="3"/>
  <c r="I302" i="3"/>
  <c r="J301" i="3" s="1"/>
  <c r="I318" i="3"/>
  <c r="J317" i="3" s="1"/>
  <c r="L317" i="3" s="1"/>
  <c r="I315" i="3"/>
  <c r="J315" i="3" s="1"/>
  <c r="I312" i="3"/>
  <c r="I311" i="3"/>
  <c r="I320" i="3"/>
  <c r="J319" i="3" s="1"/>
  <c r="I309" i="3"/>
  <c r="J309" i="3" s="1"/>
  <c r="I308" i="3"/>
  <c r="I303" i="3"/>
  <c r="I304" i="3"/>
  <c r="I300" i="3"/>
  <c r="J299" i="3" s="1"/>
  <c r="I307" i="3"/>
  <c r="J307" i="3" s="1"/>
  <c r="I313" i="3"/>
  <c r="I314" i="3"/>
  <c r="L250" i="3"/>
  <c r="I250" i="3"/>
  <c r="E250" i="3"/>
  <c r="E252" i="3" s="1"/>
  <c r="L247" i="3"/>
  <c r="C247" i="3"/>
  <c r="I247" i="3"/>
  <c r="K245" i="3"/>
  <c r="K244" i="3"/>
  <c r="C246" i="3"/>
  <c r="C245" i="3"/>
  <c r="C244" i="3"/>
  <c r="G277" i="3"/>
  <c r="G276" i="3"/>
  <c r="G275" i="3"/>
  <c r="G274" i="3"/>
  <c r="G269" i="3"/>
  <c r="G271" i="3"/>
  <c r="G270" i="3"/>
  <c r="G268" i="3"/>
  <c r="G267" i="3"/>
  <c r="G266" i="3"/>
  <c r="G264" i="3"/>
  <c r="G263" i="3"/>
  <c r="G262" i="3"/>
  <c r="G261" i="3"/>
  <c r="G260" i="3"/>
  <c r="G259" i="3"/>
  <c r="G265" i="3"/>
  <c r="G272" i="3"/>
  <c r="G273" i="3"/>
  <c r="G278" i="3"/>
  <c r="G258" i="3"/>
  <c r="E277" i="3"/>
  <c r="E276" i="3"/>
  <c r="E275" i="3"/>
  <c r="E274" i="3"/>
  <c r="E272" i="3"/>
  <c r="E271" i="3"/>
  <c r="E270" i="3"/>
  <c r="E269" i="3"/>
  <c r="E268" i="3"/>
  <c r="E267" i="3"/>
  <c r="E266" i="3"/>
  <c r="E264" i="3"/>
  <c r="E263" i="3"/>
  <c r="E261" i="3"/>
  <c r="E262" i="3"/>
  <c r="E260" i="3"/>
  <c r="E259" i="3"/>
  <c r="E273" i="3"/>
  <c r="E278" i="3"/>
  <c r="E265" i="3"/>
  <c r="E258" i="3"/>
  <c r="L321" i="3" l="1"/>
  <c r="J303" i="3"/>
  <c r="L315" i="3" s="1"/>
  <c r="J313" i="3"/>
  <c r="L313" i="3" s="1"/>
  <c r="J311" i="3"/>
  <c r="L311" i="3" s="1"/>
  <c r="I278" i="3"/>
  <c r="I276" i="3"/>
  <c r="I274" i="3"/>
  <c r="I271" i="3"/>
  <c r="I258" i="3" l="1"/>
  <c r="I259" i="3"/>
  <c r="I261" i="3"/>
  <c r="I263" i="3"/>
  <c r="I262" i="3"/>
  <c r="I266" i="3"/>
  <c r="I267" i="3"/>
  <c r="I272" i="3"/>
  <c r="I269" i="3"/>
  <c r="I260" i="3"/>
  <c r="I264" i="3"/>
  <c r="I268" i="3"/>
  <c r="I270" i="3"/>
  <c r="I273" i="3"/>
  <c r="J273" i="3" s="1"/>
  <c r="I275" i="3"/>
  <c r="J275" i="3" s="1"/>
  <c r="I277" i="3"/>
  <c r="J277" i="3" s="1"/>
  <c r="I265" i="3"/>
  <c r="G221" i="3"/>
  <c r="G220" i="3"/>
  <c r="G217" i="3"/>
  <c r="G219" i="3"/>
  <c r="G218" i="3"/>
  <c r="G216" i="3"/>
  <c r="E221" i="3"/>
  <c r="E220" i="3"/>
  <c r="E219" i="3"/>
  <c r="E218" i="3"/>
  <c r="E217" i="3"/>
  <c r="E216" i="3"/>
  <c r="G214" i="3"/>
  <c r="G213" i="3"/>
  <c r="G212" i="3"/>
  <c r="G211" i="3"/>
  <c r="G215" i="3"/>
  <c r="G210" i="3"/>
  <c r="E214" i="3"/>
  <c r="E213" i="3"/>
  <c r="E212" i="3"/>
  <c r="E211" i="3"/>
  <c r="E215" i="3"/>
  <c r="E210" i="3"/>
  <c r="L205" i="3"/>
  <c r="I205" i="3"/>
  <c r="E205" i="3"/>
  <c r="I202" i="3"/>
  <c r="C202" i="3"/>
  <c r="C201" i="3"/>
  <c r="K200" i="3"/>
  <c r="K199" i="3"/>
  <c r="C200" i="3"/>
  <c r="C199" i="3"/>
  <c r="G169" i="3"/>
  <c r="G168" i="3"/>
  <c r="G167" i="3"/>
  <c r="G166" i="3"/>
  <c r="G170" i="3"/>
  <c r="G165" i="3"/>
  <c r="E170" i="3"/>
  <c r="E169" i="3"/>
  <c r="E168" i="3"/>
  <c r="E167" i="3"/>
  <c r="E166" i="3"/>
  <c r="E165" i="3"/>
  <c r="L160" i="3"/>
  <c r="I160" i="3"/>
  <c r="E160" i="3"/>
  <c r="I157" i="3"/>
  <c r="C157" i="3"/>
  <c r="C156" i="3"/>
  <c r="K155" i="3"/>
  <c r="K154" i="3"/>
  <c r="C155" i="3"/>
  <c r="C154" i="3"/>
  <c r="G133" i="3"/>
  <c r="G134" i="3"/>
  <c r="G135" i="3"/>
  <c r="G136" i="3"/>
  <c r="G137" i="3"/>
  <c r="G132" i="3"/>
  <c r="E133" i="3"/>
  <c r="E134" i="3"/>
  <c r="E135" i="3"/>
  <c r="E136" i="3"/>
  <c r="E137" i="3"/>
  <c r="E132" i="3"/>
  <c r="G127" i="3"/>
  <c r="G128" i="3"/>
  <c r="G129" i="3"/>
  <c r="G130" i="3"/>
  <c r="G131" i="3"/>
  <c r="G126" i="3"/>
  <c r="E127" i="3"/>
  <c r="E128" i="3"/>
  <c r="E129" i="3"/>
  <c r="E130" i="3"/>
  <c r="E131" i="3"/>
  <c r="E126" i="3"/>
  <c r="I143" i="3"/>
  <c r="I142" i="3"/>
  <c r="I141" i="3"/>
  <c r="I140" i="3"/>
  <c r="I139" i="3"/>
  <c r="I138" i="3"/>
  <c r="I125" i="3"/>
  <c r="I124" i="3"/>
  <c r="I123" i="3"/>
  <c r="I122" i="3"/>
  <c r="I121" i="3"/>
  <c r="I120" i="3"/>
  <c r="L115" i="3"/>
  <c r="I115" i="3"/>
  <c r="E115" i="3"/>
  <c r="J264" i="3" l="1"/>
  <c r="J261" i="3"/>
  <c r="J258" i="3"/>
  <c r="I130" i="3"/>
  <c r="I136" i="3"/>
  <c r="I132" i="3"/>
  <c r="J267" i="3"/>
  <c r="J270" i="3"/>
  <c r="J142" i="3"/>
  <c r="J124" i="3"/>
  <c r="I170" i="3"/>
  <c r="J122" i="3"/>
  <c r="I128" i="3"/>
  <c r="I134" i="3"/>
  <c r="I165" i="3"/>
  <c r="I169" i="3"/>
  <c r="J140" i="3"/>
  <c r="I167" i="3"/>
  <c r="I219" i="3"/>
  <c r="I218" i="3"/>
  <c r="I217" i="3"/>
  <c r="I211" i="3"/>
  <c r="I216" i="3"/>
  <c r="I220" i="3"/>
  <c r="I221" i="3"/>
  <c r="I215" i="3"/>
  <c r="I214" i="3"/>
  <c r="I210" i="3"/>
  <c r="I213" i="3"/>
  <c r="I212" i="3"/>
  <c r="J138" i="3"/>
  <c r="I166" i="3"/>
  <c r="I131" i="3"/>
  <c r="I127" i="3"/>
  <c r="I129" i="3"/>
  <c r="I137" i="3"/>
  <c r="I135" i="3"/>
  <c r="I168" i="3"/>
  <c r="J167" i="3" s="1"/>
  <c r="J120" i="3"/>
  <c r="I133" i="3"/>
  <c r="I126" i="3"/>
  <c r="L70" i="3"/>
  <c r="I70" i="3"/>
  <c r="E70" i="3"/>
  <c r="I112" i="3"/>
  <c r="C112" i="3"/>
  <c r="C111" i="3"/>
  <c r="K110" i="3"/>
  <c r="K109" i="3"/>
  <c r="C110" i="3"/>
  <c r="C109" i="3"/>
  <c r="J132" i="3" l="1"/>
  <c r="J130" i="3"/>
  <c r="J136" i="3"/>
  <c r="J169" i="3"/>
  <c r="J134" i="3"/>
  <c r="J128" i="3"/>
  <c r="J216" i="3"/>
  <c r="J220" i="3"/>
  <c r="J212" i="3"/>
  <c r="J165" i="3"/>
  <c r="J218" i="3"/>
  <c r="J214" i="3"/>
  <c r="J210" i="3"/>
  <c r="J126" i="3"/>
  <c r="I67" i="3" l="1"/>
  <c r="C67" i="3"/>
  <c r="M66" i="3"/>
  <c r="K66" i="3"/>
  <c r="K64" i="3"/>
  <c r="C65" i="3"/>
  <c r="C64" i="3"/>
  <c r="K65" i="3"/>
  <c r="C66" i="3"/>
  <c r="D87" i="3" l="1"/>
  <c r="G76" i="3" l="1"/>
  <c r="G77" i="3"/>
  <c r="G78" i="3"/>
  <c r="G79" i="3"/>
  <c r="G80" i="3"/>
  <c r="G81" i="3"/>
  <c r="G82" i="3"/>
  <c r="G83" i="3"/>
  <c r="G75" i="3"/>
  <c r="E78" i="3"/>
  <c r="E79" i="3"/>
  <c r="E80" i="3"/>
  <c r="E81" i="3"/>
  <c r="E82" i="3"/>
  <c r="E83" i="3"/>
  <c r="E76" i="3"/>
  <c r="E77" i="3"/>
  <c r="E75" i="3"/>
  <c r="G52" i="3"/>
  <c r="G51" i="3"/>
  <c r="E52" i="3"/>
  <c r="E51" i="3"/>
  <c r="L8" i="3"/>
  <c r="G50" i="3"/>
  <c r="G49" i="3"/>
  <c r="G48" i="3"/>
  <c r="G47" i="3"/>
  <c r="G46" i="3"/>
  <c r="G45" i="3"/>
  <c r="G44" i="3"/>
  <c r="G40" i="3"/>
  <c r="G39" i="3"/>
  <c r="G38" i="3"/>
  <c r="G34" i="3"/>
  <c r="G33" i="3"/>
  <c r="G32" i="3"/>
  <c r="G28" i="3"/>
  <c r="G27" i="3"/>
  <c r="G26" i="3"/>
  <c r="G22" i="3"/>
  <c r="G21" i="3"/>
  <c r="G20" i="3"/>
  <c r="E50" i="3"/>
  <c r="E49" i="3"/>
  <c r="E48" i="3"/>
  <c r="E46" i="3"/>
  <c r="E45" i="3"/>
  <c r="I45" i="3" s="1"/>
  <c r="E44" i="3"/>
  <c r="E40" i="3"/>
  <c r="E39" i="3"/>
  <c r="E38" i="3"/>
  <c r="I38" i="3" s="1"/>
  <c r="E34" i="3"/>
  <c r="E33" i="3"/>
  <c r="E32" i="3"/>
  <c r="E28" i="3"/>
  <c r="I28" i="3" s="1"/>
  <c r="E27" i="3"/>
  <c r="E26" i="3"/>
  <c r="E22" i="3"/>
  <c r="E21" i="3"/>
  <c r="I21" i="3" s="1"/>
  <c r="E20" i="3"/>
  <c r="G43" i="3"/>
  <c r="G42" i="3"/>
  <c r="G41" i="3"/>
  <c r="G37" i="3"/>
  <c r="G36" i="3"/>
  <c r="G35" i="3"/>
  <c r="G31" i="3"/>
  <c r="G30" i="3"/>
  <c r="G29" i="3"/>
  <c r="G25" i="3"/>
  <c r="G24" i="3"/>
  <c r="G23" i="3"/>
  <c r="G19" i="3"/>
  <c r="G18" i="3"/>
  <c r="G17" i="3"/>
  <c r="E47" i="3"/>
  <c r="E43" i="3"/>
  <c r="I43" i="3" s="1"/>
  <c r="E42" i="3"/>
  <c r="I42" i="3" s="1"/>
  <c r="E41" i="3"/>
  <c r="I41" i="3" s="1"/>
  <c r="E37" i="3"/>
  <c r="I37" i="3" s="1"/>
  <c r="E36" i="3"/>
  <c r="I36" i="3" s="1"/>
  <c r="E35" i="3"/>
  <c r="I35" i="3" s="1"/>
  <c r="E31" i="3"/>
  <c r="I31" i="3" s="1"/>
  <c r="E30" i="3"/>
  <c r="I30" i="3" s="1"/>
  <c r="E29" i="3"/>
  <c r="E18" i="3"/>
  <c r="E17" i="3"/>
  <c r="E25" i="3"/>
  <c r="E24" i="3"/>
  <c r="E23" i="3"/>
  <c r="E19" i="3"/>
  <c r="I19" i="3" l="1"/>
  <c r="I82" i="3"/>
  <c r="I78" i="3"/>
  <c r="I76" i="3"/>
  <c r="I77" i="3"/>
  <c r="I75" i="3"/>
  <c r="I51" i="3"/>
  <c r="I80" i="3"/>
  <c r="I39" i="3"/>
  <c r="I83" i="3"/>
  <c r="I79" i="3"/>
  <c r="I22" i="3"/>
  <c r="I32" i="3"/>
  <c r="I46" i="3"/>
  <c r="I20" i="3"/>
  <c r="I27" i="3"/>
  <c r="I49" i="3"/>
  <c r="I81" i="3"/>
  <c r="I34" i="3"/>
  <c r="I44" i="3"/>
  <c r="I26" i="3"/>
  <c r="I25" i="3"/>
  <c r="I48" i="3"/>
  <c r="I50" i="3"/>
  <c r="I52" i="3"/>
  <c r="I23" i="3"/>
  <c r="I18" i="3"/>
  <c r="I29" i="3"/>
  <c r="I47" i="3"/>
  <c r="I24" i="3"/>
  <c r="I33" i="3"/>
  <c r="I40" i="3"/>
  <c r="I17" i="3"/>
  <c r="J35" i="3" l="1"/>
  <c r="L267" i="3" s="1"/>
  <c r="J49" i="3"/>
  <c r="L275" i="3" s="1"/>
  <c r="K75" i="3"/>
  <c r="J75" i="3"/>
  <c r="J51" i="3"/>
  <c r="J78" i="3"/>
  <c r="K78" i="3"/>
  <c r="K81" i="3"/>
  <c r="J81" i="3"/>
  <c r="K41" i="3"/>
  <c r="K17" i="3"/>
  <c r="J47" i="3"/>
  <c r="L273" i="3" s="1"/>
  <c r="K23" i="3"/>
  <c r="J41" i="3"/>
  <c r="L270" i="3" s="1"/>
  <c r="K35" i="3"/>
  <c r="K29" i="3"/>
  <c r="J17" i="3"/>
  <c r="J23" i="3"/>
  <c r="L261" i="3" s="1"/>
  <c r="J29" i="3"/>
  <c r="L264" i="3" s="1"/>
  <c r="H87" i="3" l="1"/>
  <c r="K87" i="3" s="1"/>
  <c r="L258" i="3"/>
  <c r="M47" i="3"/>
  <c r="L23" i="3"/>
  <c r="L29" i="3"/>
  <c r="M17" i="3"/>
  <c r="L41" i="3"/>
  <c r="L35" i="3"/>
  <c r="M11" i="3"/>
  <c r="L17" i="3"/>
</calcChain>
</file>

<file path=xl/sharedStrings.xml><?xml version="1.0" encoding="utf-8"?>
<sst xmlns="http://schemas.openxmlformats.org/spreadsheetml/2006/main" count="681" uniqueCount="201">
  <si>
    <t>测试点</t>
  </si>
  <si>
    <t>次数</t>
  </si>
  <si>
    <t>流量(m3/h)</t>
  </si>
  <si>
    <t>测试时间(s)</t>
  </si>
  <si>
    <t>湿度(%)</t>
  </si>
  <si>
    <t>标准器压力(kPa)</t>
  </si>
  <si>
    <t>标准器温度(℃)</t>
  </si>
  <si>
    <t>标准体积(L)</t>
  </si>
  <si>
    <t>被检表压力(kPa)</t>
  </si>
  <si>
    <t>被检表温度(℃)</t>
  </si>
  <si>
    <t>被检表体积(L)</t>
  </si>
  <si>
    <t>示值误差(%)</t>
  </si>
  <si>
    <t>平均误差(%)</t>
  </si>
  <si>
    <t>极差(%)</t>
  </si>
  <si>
    <t>压损(Pa)</t>
  </si>
  <si>
    <t>qmax</t>
  </si>
  <si>
    <t>0.7qmax</t>
  </si>
  <si>
    <t>0.4qmax</t>
  </si>
  <si>
    <t>0.2qmax</t>
  </si>
  <si>
    <t>0.1qmax</t>
  </si>
  <si>
    <t>qmin</t>
  </si>
  <si>
    <t>/</t>
    <phoneticPr fontId="4" type="noConversion"/>
  </si>
  <si>
    <r>
      <rPr>
        <sz val="12"/>
        <rFont val="宋体"/>
        <family val="3"/>
        <charset val="134"/>
      </rPr>
      <t>证书编号：</t>
    </r>
    <phoneticPr fontId="4" type="noConversion"/>
  </si>
  <si>
    <r>
      <rPr>
        <sz val="12"/>
        <rFont val="宋体"/>
        <family val="3"/>
        <charset val="134"/>
      </rPr>
      <t>送检单位：</t>
    </r>
    <phoneticPr fontId="4" type="noConversion"/>
  </si>
  <si>
    <r>
      <rPr>
        <sz val="12"/>
        <rFont val="宋体"/>
        <family val="3"/>
        <charset val="134"/>
      </rPr>
      <t>样品名称：</t>
    </r>
    <phoneticPr fontId="4" type="noConversion"/>
  </si>
  <si>
    <r>
      <rPr>
        <sz val="12"/>
        <rFont val="宋体"/>
        <family val="3"/>
        <charset val="134"/>
      </rPr>
      <t>制造单位：</t>
    </r>
    <phoneticPr fontId="4" type="noConversion"/>
  </si>
  <si>
    <r>
      <rPr>
        <sz val="12"/>
        <rFont val="宋体"/>
        <family val="3"/>
        <charset val="134"/>
      </rPr>
      <t>型号：</t>
    </r>
    <phoneticPr fontId="4" type="noConversion"/>
  </si>
  <si>
    <r>
      <rPr>
        <sz val="12"/>
        <rFont val="宋体"/>
        <family val="3"/>
        <charset val="134"/>
      </rPr>
      <t>检测
流量点</t>
    </r>
    <phoneticPr fontId="4" type="noConversion"/>
  </si>
  <si>
    <r>
      <rPr>
        <sz val="12"/>
        <rFont val="宋体"/>
        <family val="3"/>
        <charset val="134"/>
      </rPr>
      <t>序号</t>
    </r>
    <phoneticPr fontId="4" type="noConversion"/>
  </si>
  <si>
    <r>
      <rPr>
        <sz val="12"/>
        <rFont val="宋体"/>
        <family val="3"/>
        <charset val="134"/>
      </rPr>
      <t>燃气表
读数</t>
    </r>
    <phoneticPr fontId="4" type="noConversion"/>
  </si>
  <si>
    <r>
      <rPr>
        <sz val="12"/>
        <rFont val="宋体"/>
        <family val="3"/>
        <charset val="134"/>
      </rPr>
      <t>标准器
读数</t>
    </r>
    <phoneticPr fontId="4" type="noConversion"/>
  </si>
  <si>
    <r>
      <rPr>
        <sz val="12"/>
        <rFont val="宋体"/>
        <family val="3"/>
        <charset val="134"/>
      </rPr>
      <t>示值
误差</t>
    </r>
    <phoneticPr fontId="4" type="noConversion"/>
  </si>
  <si>
    <r>
      <rPr>
        <sz val="12"/>
        <rFont val="宋体"/>
        <family val="3"/>
        <charset val="134"/>
      </rPr>
      <t>平均示
值误差</t>
    </r>
    <phoneticPr fontId="4" type="noConversion"/>
  </si>
  <si>
    <r>
      <rPr>
        <sz val="12"/>
        <rFont val="宋体"/>
        <family val="3"/>
        <charset val="134"/>
      </rPr>
      <t>误差曲线</t>
    </r>
    <phoneticPr fontId="4" type="noConversion"/>
  </si>
  <si>
    <r>
      <rPr>
        <sz val="12"/>
        <rFont val="宋体"/>
        <family val="3"/>
        <charset val="134"/>
      </rPr>
      <t>同号时误差绝对值≤</t>
    </r>
    <r>
      <rPr>
        <sz val="12"/>
        <rFont val="Arial"/>
        <family val="2"/>
      </rPr>
      <t>1%</t>
    </r>
    <phoneticPr fontId="4" type="noConversion"/>
  </si>
  <si>
    <t>出厂编号：</t>
    <phoneticPr fontId="4" type="noConversion"/>
  </si>
  <si>
    <t>空气</t>
    <phoneticPr fontId="4" type="noConversion"/>
  </si>
  <si>
    <r>
      <t>(20~21)</t>
    </r>
    <r>
      <rPr>
        <sz val="12"/>
        <rFont val="宋体"/>
        <family val="3"/>
        <charset val="134"/>
      </rPr>
      <t>℃</t>
    </r>
    <phoneticPr fontId="4" type="noConversion"/>
  </si>
  <si>
    <t>湿度：</t>
    <phoneticPr fontId="4" type="noConversion"/>
  </si>
  <si>
    <t>温度：</t>
    <phoneticPr fontId="4" type="noConversion"/>
  </si>
  <si>
    <t>大气压力：</t>
    <phoneticPr fontId="4" type="noConversion"/>
  </si>
  <si>
    <t>(100~101)kPa</t>
    <phoneticPr fontId="4" type="noConversion"/>
  </si>
  <si>
    <t>流量范围：</t>
    <phoneticPr fontId="4" type="noConversion"/>
  </si>
  <si>
    <t>压力损失：</t>
    <phoneticPr fontId="4" type="noConversion"/>
  </si>
  <si>
    <t>测量地点：</t>
    <phoneticPr fontId="4" type="noConversion"/>
  </si>
  <si>
    <r>
      <rPr>
        <sz val="12"/>
        <rFont val="宋体"/>
        <family val="3"/>
        <charset val="134"/>
      </rPr>
      <t>张衡路</t>
    </r>
    <r>
      <rPr>
        <sz val="12"/>
        <rFont val="Arial"/>
        <family val="2"/>
      </rPr>
      <t>1500</t>
    </r>
    <r>
      <rPr>
        <sz val="12"/>
        <rFont val="宋体"/>
        <family val="3"/>
        <charset val="134"/>
      </rPr>
      <t>号大力值楼</t>
    </r>
    <r>
      <rPr>
        <sz val="12"/>
        <rFont val="Arial"/>
        <family val="2"/>
      </rPr>
      <t>101</t>
    </r>
    <r>
      <rPr>
        <sz val="12"/>
        <rFont val="宋体"/>
        <family val="3"/>
        <charset val="134"/>
      </rPr>
      <t>室</t>
    </r>
    <phoneticPr fontId="4" type="noConversion"/>
  </si>
  <si>
    <t>技术依据：</t>
    <phoneticPr fontId="4" type="noConversion"/>
  </si>
  <si>
    <t>外观：</t>
    <phoneticPr fontId="4" type="noConversion"/>
  </si>
  <si>
    <t>其它：</t>
    <phoneticPr fontId="4" type="noConversion"/>
  </si>
  <si>
    <t>试验员：</t>
    <phoneticPr fontId="4" type="noConversion"/>
  </si>
  <si>
    <t>核验员：</t>
    <phoneticPr fontId="4" type="noConversion"/>
  </si>
  <si>
    <t>测量日期：</t>
    <phoneticPr fontId="4" type="noConversion"/>
  </si>
  <si>
    <t>符合要求</t>
    <phoneticPr fontId="4" type="noConversion"/>
  </si>
  <si>
    <t xml:space="preserve">     符合要求</t>
    <phoneticPr fontId="4" type="noConversion"/>
  </si>
  <si>
    <r>
      <rPr>
        <sz val="16"/>
        <rFont val="宋体"/>
        <family val="3"/>
        <charset val="134"/>
      </rPr>
      <t>上海市计量测试技术研究院</t>
    </r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</si>
  <si>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</si>
  <si>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L 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</si>
  <si>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0"/>
        <rFont val="宋体"/>
        <family val="3"/>
        <charset val="134"/>
      </rPr>
      <t>第</t>
    </r>
    <r>
      <rPr>
        <sz val="10"/>
        <rFont val="Arial"/>
        <family val="2"/>
      </rPr>
      <t xml:space="preserve">        </t>
    </r>
    <r>
      <rPr>
        <sz val="10"/>
        <rFont val="宋体"/>
        <family val="3"/>
        <charset val="134"/>
      </rPr>
      <t>页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共</t>
    </r>
    <r>
      <rPr>
        <sz val="10"/>
        <rFont val="Arial"/>
        <family val="2"/>
      </rPr>
      <t xml:space="preserve">       </t>
    </r>
    <r>
      <rPr>
        <sz val="10"/>
        <rFont val="宋体"/>
        <family val="3"/>
        <charset val="134"/>
      </rPr>
      <t>页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</si>
  <si>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</si>
  <si>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t>0.7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</si>
  <si>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</si>
  <si>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t>0.2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</si>
  <si>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</si>
  <si>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</si>
  <si>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rPr>
        <sz val="12"/>
        <rFont val="宋体"/>
        <family val="3"/>
        <charset val="134"/>
      </rPr>
      <t>标准器编号：</t>
    </r>
    <phoneticPr fontId="4" type="noConversion"/>
  </si>
  <si>
    <r>
      <t xml:space="preserve">   2816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2006-10-002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712455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712456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712457</t>
    </r>
    <phoneticPr fontId="4" type="noConversion"/>
  </si>
  <si>
    <r>
      <rPr>
        <sz val="10"/>
        <rFont val="Arial"/>
        <family val="2"/>
      </rPr>
      <t xml:space="preserve">                                                                                                                                  </t>
    </r>
    <r>
      <rPr>
        <sz val="10"/>
        <rFont val="宋体"/>
        <family val="3"/>
        <charset val="134"/>
      </rPr>
      <t>文件编号：</t>
    </r>
    <r>
      <rPr>
        <sz val="10"/>
        <rFont val="Arial"/>
        <family val="2"/>
      </rPr>
      <t>JDJ/E70T029.1/0-2017</t>
    </r>
    <phoneticPr fontId="4" type="noConversion"/>
  </si>
  <si>
    <t>燃气表测量记录单</t>
    <phoneticPr fontId="4" type="noConversion"/>
  </si>
  <si>
    <t>测量介质：</t>
    <phoneticPr fontId="4" type="noConversion"/>
  </si>
  <si>
    <t>密封性：</t>
    <phoneticPr fontId="4" type="noConversion"/>
  </si>
  <si>
    <r>
      <t>10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</si>
  <si>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t>1</t>
    </r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qmin</t>
    </r>
    <phoneticPr fontId="3" type="noConversion"/>
  </si>
  <si>
    <t>5qmin</t>
    <phoneticPr fontId="3" type="noConversion"/>
  </si>
  <si>
    <t>qmin</t>
    <phoneticPr fontId="3" type="noConversion"/>
  </si>
  <si>
    <t>5qmin</t>
    <phoneticPr fontId="4" type="noConversion"/>
  </si>
  <si>
    <r>
      <t>1</t>
    </r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qmin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</si>
  <si>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r>
      <rPr>
        <sz val="12"/>
        <rFont val="Arial"/>
        <family val="2"/>
      </rPr>
      <t>:</t>
    </r>
    <phoneticPr fontId="4" type="noConversion"/>
  </si>
  <si>
    <t>m³/h</t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</si>
  <si>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r>
      <rPr>
        <sz val="12"/>
        <rFont val="Arial"/>
        <family val="2"/>
      </rPr>
      <t>:</t>
    </r>
    <phoneticPr fontId="4" type="noConversion"/>
  </si>
  <si>
    <r>
      <rPr>
        <sz val="12"/>
        <rFont val="宋体"/>
        <family val="3"/>
        <charset val="134"/>
      </rPr>
      <t>加权平均误差</t>
    </r>
    <r>
      <rPr>
        <sz val="12"/>
        <rFont val="Arial"/>
        <family val="2"/>
      </rPr>
      <t>(±0.6%)</t>
    </r>
    <r>
      <rPr>
        <sz val="12"/>
        <rFont val="宋体"/>
        <family val="3"/>
        <charset val="134"/>
      </rPr>
      <t>：</t>
    </r>
    <phoneticPr fontId="4" type="noConversion"/>
  </si>
  <si>
    <r>
      <rPr>
        <sz val="12"/>
        <rFont val="宋体"/>
        <family val="3"/>
        <charset val="134"/>
      </rPr>
      <t>复现性误差≤</t>
    </r>
    <r>
      <rPr>
        <sz val="12"/>
        <rFont val="Arial"/>
        <family val="2"/>
      </rPr>
      <t>0.5%</t>
    </r>
    <phoneticPr fontId="4" type="noConversion"/>
  </si>
  <si>
    <t>降 流 量</t>
    <phoneticPr fontId="4" type="noConversion"/>
  </si>
  <si>
    <t>升 流 量</t>
    <phoneticPr fontId="4" type="noConversion"/>
  </si>
  <si>
    <r>
      <rPr>
        <sz val="11"/>
        <rFont val="宋体"/>
        <family val="3"/>
        <charset val="134"/>
      </rPr>
      <t>降</t>
    </r>
    <r>
      <rPr>
        <sz val="11"/>
        <rFont val="Arial"/>
        <family val="2"/>
      </rPr>
      <t/>
    </r>
    <phoneticPr fontId="4" type="noConversion"/>
  </si>
  <si>
    <r>
      <rPr>
        <sz val="11"/>
        <rFont val="宋体"/>
        <family val="3"/>
        <charset val="134"/>
      </rPr>
      <t>升</t>
    </r>
    <r>
      <rPr>
        <sz val="11"/>
        <rFont val="Arial"/>
        <family val="2"/>
      </rPr>
      <t/>
    </r>
    <phoneticPr fontId="4" type="noConversion"/>
  </si>
  <si>
    <t>误差曲线落差</t>
    <phoneticPr fontId="4" type="noConversion"/>
  </si>
  <si>
    <r>
      <t>0.</t>
    </r>
    <r>
      <rPr>
        <sz val="12"/>
        <rFont val="宋体"/>
        <family val="3"/>
        <charset val="134"/>
      </rPr>
      <t>1</t>
    </r>
    <r>
      <rPr>
        <sz val="12"/>
        <rFont val="宋体"/>
        <family val="3"/>
        <charset val="134"/>
      </rPr>
      <t>qmax</t>
    </r>
    <phoneticPr fontId="18" type="noConversion"/>
  </si>
  <si>
    <r>
      <t>qm</t>
    </r>
    <r>
      <rPr>
        <sz val="12"/>
        <rFont val="宋体"/>
        <family val="3"/>
        <charset val="134"/>
      </rPr>
      <t>in</t>
    </r>
    <phoneticPr fontId="18" type="noConversion"/>
  </si>
  <si>
    <t>备注</t>
    <phoneticPr fontId="4" type="noConversion"/>
  </si>
  <si>
    <t>重复性</t>
    <phoneticPr fontId="4" type="noConversion"/>
  </si>
  <si>
    <t>重复性   误差</t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</si>
  <si>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</si>
  <si>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</si>
  <si>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r>
      <rPr>
        <sz val="12"/>
        <rFont val="Arial"/>
        <family val="2"/>
      </rPr>
      <t>: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</si>
  <si>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r>
      <rPr>
        <sz val="12"/>
        <rFont val="Arial"/>
        <family val="2"/>
      </rPr>
      <t>:</t>
    </r>
    <phoneticPr fontId="4" type="noConversion"/>
  </si>
  <si>
    <t>上海真兰仪表科技股份有限公司</t>
    <phoneticPr fontId="4" type="noConversion"/>
  </si>
  <si>
    <t>超声波燃气表</t>
    <phoneticPr fontId="4" type="noConversion"/>
  </si>
  <si>
    <t>编号</t>
    <phoneticPr fontId="22" type="noConversion"/>
  </si>
  <si>
    <t>起始值</t>
    <phoneticPr fontId="22" type="noConversion"/>
  </si>
  <si>
    <t>终点值</t>
    <phoneticPr fontId="22" type="noConversion"/>
  </si>
  <si>
    <t>表体积</t>
    <phoneticPr fontId="22" type="noConversion"/>
  </si>
  <si>
    <t>标准流量</t>
    <phoneticPr fontId="22" type="noConversion"/>
  </si>
  <si>
    <t>初始时间</t>
    <phoneticPr fontId="22" type="noConversion"/>
  </si>
  <si>
    <t>结束时间</t>
    <phoneticPr fontId="22" type="noConversion"/>
  </si>
  <si>
    <t>时间差</t>
    <phoneticPr fontId="22" type="noConversion"/>
  </si>
  <si>
    <t>时间(时）</t>
    <phoneticPr fontId="22" type="noConversion"/>
  </si>
  <si>
    <t>分</t>
    <phoneticPr fontId="22" type="noConversion"/>
  </si>
  <si>
    <t>秒</t>
    <phoneticPr fontId="22" type="noConversion"/>
  </si>
  <si>
    <t>用户模式误差</t>
    <phoneticPr fontId="4" type="noConversion"/>
  </si>
  <si>
    <t>检测模式误差</t>
    <phoneticPr fontId="4" type="noConversion"/>
  </si>
  <si>
    <t>偏差</t>
    <phoneticPr fontId="4" type="noConversion"/>
  </si>
  <si>
    <t>检测        流量点</t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</si>
  <si>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</si>
  <si>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</si>
  <si>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t>备注</t>
    <phoneticPr fontId="4" type="noConversion"/>
  </si>
  <si>
    <t>不同工作模式的误差偏差</t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</si>
  <si>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</si>
  <si>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</si>
  <si>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t>误差(%)</t>
    <phoneticPr fontId="22" type="noConversion"/>
  </si>
  <si>
    <t>高温</t>
    <phoneticPr fontId="21" type="noConversion"/>
  </si>
  <si>
    <t>低温</t>
    <phoneticPr fontId="21" type="noConversion"/>
  </si>
  <si>
    <t>编号：</t>
    <phoneticPr fontId="21" type="noConversion"/>
  </si>
  <si>
    <t>流量点</t>
    <phoneticPr fontId="21" type="noConversion"/>
  </si>
  <si>
    <t>燃气表读数</t>
    <phoneticPr fontId="21" type="noConversion"/>
  </si>
  <si>
    <t>标准器读数</t>
    <phoneticPr fontId="21" type="noConversion"/>
  </si>
  <si>
    <t>压力</t>
    <phoneticPr fontId="21" type="noConversion"/>
  </si>
  <si>
    <t>温度</t>
    <phoneticPr fontId="21" type="noConversion"/>
  </si>
  <si>
    <t>Vref</t>
    <phoneticPr fontId="21" type="noConversion"/>
  </si>
  <si>
    <t>误差</t>
    <phoneticPr fontId="21" type="noConversion"/>
  </si>
  <si>
    <t>qmax</t>
    <phoneticPr fontId="21" type="noConversion"/>
  </si>
  <si>
    <t>0.7qmax</t>
    <phoneticPr fontId="21" type="noConversion"/>
  </si>
  <si>
    <t>0.2qmax</t>
    <phoneticPr fontId="21" type="noConversion"/>
  </si>
  <si>
    <r>
      <rPr>
        <sz val="12"/>
        <rFont val="宋体"/>
        <family val="3"/>
        <charset val="134"/>
      </rPr>
      <t>型号：</t>
    </r>
    <phoneticPr fontId="4" type="noConversion"/>
  </si>
  <si>
    <r>
      <rPr>
        <sz val="12"/>
        <rFont val="宋体"/>
        <family val="3"/>
        <charset val="134"/>
      </rPr>
      <t>测量介质：</t>
    </r>
    <phoneticPr fontId="4" type="noConversion"/>
  </si>
  <si>
    <r>
      <rPr>
        <sz val="12"/>
        <rFont val="宋体"/>
        <family val="3"/>
        <charset val="134"/>
      </rPr>
      <t>空气</t>
    </r>
    <phoneticPr fontId="4" type="noConversion"/>
  </si>
  <si>
    <r>
      <rPr>
        <sz val="12"/>
        <rFont val="宋体"/>
        <family val="3"/>
        <charset val="134"/>
      </rPr>
      <t>温度：</t>
    </r>
    <phoneticPr fontId="4" type="noConversion"/>
  </si>
  <si>
    <r>
      <rPr>
        <sz val="12"/>
        <rFont val="宋体"/>
        <family val="3"/>
        <charset val="134"/>
      </rPr>
      <t>流量范围：</t>
    </r>
    <phoneticPr fontId="4" type="noConversion"/>
  </si>
  <si>
    <r>
      <rPr>
        <sz val="12"/>
        <rFont val="宋体"/>
        <family val="3"/>
        <charset val="134"/>
      </rPr>
      <t>样品名称：</t>
    </r>
    <phoneticPr fontId="4" type="noConversion"/>
  </si>
  <si>
    <t xml:space="preserve">  </t>
    <phoneticPr fontId="4" type="noConversion"/>
  </si>
  <si>
    <r>
      <t>140301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202104-2</t>
    </r>
    <phoneticPr fontId="4" type="noConversion"/>
  </si>
  <si>
    <r>
      <rPr>
        <sz val="12"/>
        <rFont val="宋体"/>
        <family val="3"/>
        <charset val="134"/>
      </rPr>
      <t>检测
流量点</t>
    </r>
    <phoneticPr fontId="21" type="noConversion"/>
  </si>
  <si>
    <r>
      <rPr>
        <sz val="12"/>
        <rFont val="宋体"/>
        <family val="3"/>
        <charset val="134"/>
      </rPr>
      <t>序号</t>
    </r>
    <phoneticPr fontId="21" type="noConversion"/>
  </si>
  <si>
    <r>
      <rPr>
        <sz val="12"/>
        <rFont val="宋体"/>
        <family val="3"/>
        <charset val="134"/>
      </rPr>
      <t>燃气表
读数</t>
    </r>
    <phoneticPr fontId="21" type="noConversion"/>
  </si>
  <si>
    <r>
      <rPr>
        <sz val="12"/>
        <rFont val="宋体"/>
        <family val="3"/>
        <charset val="134"/>
      </rPr>
      <t>标准器
读数</t>
    </r>
    <phoneticPr fontId="21" type="noConversion"/>
  </si>
  <si>
    <r>
      <rPr>
        <sz val="12"/>
        <rFont val="宋体"/>
        <family val="3"/>
        <charset val="134"/>
      </rPr>
      <t>示值
误差</t>
    </r>
    <phoneticPr fontId="21" type="noConversion"/>
  </si>
  <si>
    <r>
      <rPr>
        <sz val="12"/>
        <rFont val="宋体"/>
        <family val="3"/>
        <charset val="134"/>
      </rPr>
      <t>平均示
值误差</t>
    </r>
    <phoneticPr fontId="21" type="noConversion"/>
  </si>
  <si>
    <t>备注</t>
    <phoneticPr fontId="21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</si>
  <si>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L </t>
    </r>
    <r>
      <rPr>
        <sz val="12"/>
        <rFont val="宋体"/>
        <family val="3"/>
        <charset val="134"/>
      </rPr>
      <t>）</t>
    </r>
    <phoneticPr fontId="21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</si>
  <si>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21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</si>
  <si>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</si>
  <si>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0.7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</si>
  <si>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0.2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</si>
  <si>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rPr>
        <sz val="12"/>
        <rFont val="宋体"/>
        <family val="3"/>
        <charset val="134"/>
      </rPr>
      <t>温度适应性：</t>
    </r>
    <r>
      <rPr>
        <sz val="12"/>
        <rFont val="Arial"/>
        <family val="2"/>
      </rPr>
      <t>20</t>
    </r>
    <r>
      <rPr>
        <sz val="12"/>
        <rFont val="宋体"/>
        <family val="3"/>
        <charset val="134"/>
      </rPr>
      <t>℃</t>
    </r>
    <phoneticPr fontId="21" type="noConversion"/>
  </si>
  <si>
    <r>
      <rPr>
        <sz val="12"/>
        <rFont val="宋体"/>
        <family val="3"/>
        <charset val="134"/>
      </rPr>
      <t>温度适应性：</t>
    </r>
    <r>
      <rPr>
        <sz val="12"/>
        <rFont val="Arial"/>
        <family val="2"/>
      </rPr>
      <t>20</t>
    </r>
    <r>
      <rPr>
        <sz val="12"/>
        <rFont val="宋体"/>
        <family val="3"/>
        <charset val="134"/>
      </rPr>
      <t>℃</t>
    </r>
    <phoneticPr fontId="21" type="noConversion"/>
  </si>
  <si>
    <t>前</t>
    <phoneticPr fontId="21" type="noConversion"/>
  </si>
  <si>
    <t>0.25qmax</t>
  </si>
  <si>
    <t>后</t>
    <phoneticPr fontId="21" type="noConversion"/>
  </si>
  <si>
    <r>
      <t>0.2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</si>
  <si>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21" type="noConversion"/>
  </si>
  <si>
    <t>环境适应性复测</t>
    <phoneticPr fontId="21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</si>
  <si>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</si>
  <si>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0.25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</si>
  <si>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t>(50~52)%RH</t>
    <phoneticPr fontId="4" type="noConversion"/>
  </si>
  <si>
    <t>备注</t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</si>
  <si>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21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</si>
  <si>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</si>
  <si>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t>偏移</t>
    <phoneticPr fontId="4" type="noConversion"/>
  </si>
  <si>
    <t>/</t>
    <phoneticPr fontId="4" type="noConversion"/>
  </si>
  <si>
    <t>/</t>
    <phoneticPr fontId="4" type="noConversion"/>
  </si>
  <si>
    <t>耐久性后误差偏离</t>
    <phoneticPr fontId="4" type="noConversion"/>
  </si>
  <si>
    <t>密封性：</t>
    <phoneticPr fontId="4" type="noConversion"/>
  </si>
  <si>
    <t>符合要求</t>
  </si>
  <si>
    <t>耐久性运行参数</t>
    <phoneticPr fontId="4" type="noConversion"/>
  </si>
  <si>
    <t>m³/h</t>
    <phoneticPr fontId="4" type="noConversion"/>
  </si>
  <si>
    <r>
      <rPr>
        <sz val="12"/>
        <rFont val="宋体"/>
        <family val="3"/>
        <charset val="134"/>
      </rPr>
      <t>运行流量（</t>
    </r>
    <r>
      <rPr>
        <sz val="12"/>
        <rFont val="Arial"/>
        <family val="2"/>
      </rPr>
      <t>m³/h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</si>
  <si>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运行时间（</t>
    </r>
    <r>
      <rPr>
        <sz val="12"/>
        <rFont val="Arial"/>
        <family val="2"/>
      </rPr>
      <t>h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</si>
  <si>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初始值（</t>
    </r>
    <r>
      <rPr>
        <sz val="12"/>
        <rFont val="Arial"/>
        <family val="2"/>
      </rPr>
      <t>m³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</si>
  <si>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终止值（</t>
    </r>
    <r>
      <rPr>
        <sz val="12"/>
        <rFont val="Arial"/>
        <family val="2"/>
      </rPr>
      <t>m³</t>
    </r>
    <r>
      <rPr>
        <sz val="12"/>
        <rFont val="宋体"/>
        <family val="3"/>
        <charset val="134"/>
      </rPr>
      <t>）</t>
    </r>
    <phoneticPr fontId="4" type="noConversion"/>
  </si>
  <si>
    <t>耐久性复测数据：</t>
    <phoneticPr fontId="4" type="noConversion"/>
  </si>
  <si>
    <t>(52~54)%RH</t>
    <phoneticPr fontId="4" type="noConversion"/>
  </si>
  <si>
    <r>
      <t>0.7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</si>
  <si>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</si>
  <si>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4" type="noConversion"/>
  </si>
  <si>
    <t>流体扰动：  参比条件</t>
    <phoneticPr fontId="4" type="noConversion"/>
  </si>
  <si>
    <r>
      <rPr>
        <sz val="12"/>
        <rFont val="宋体"/>
        <family val="3"/>
        <charset val="134"/>
      </rPr>
      <t>流体扰动：</t>
    </r>
    <r>
      <rPr>
        <sz val="12"/>
        <rFont val="Arial"/>
        <family val="2"/>
      </rPr>
      <t xml:space="preserve">   90°</t>
    </r>
    <r>
      <rPr>
        <sz val="12"/>
        <rFont val="宋体"/>
        <family val="3"/>
        <charset val="134"/>
      </rPr>
      <t>单弯头</t>
    </r>
    <phoneticPr fontId="4" type="noConversion"/>
  </si>
  <si>
    <t>机械环境：  振动跌落前</t>
    <phoneticPr fontId="4" type="noConversion"/>
  </si>
  <si>
    <t>机械环境：  振动跌落后</t>
    <phoneticPr fontId="4" type="noConversion"/>
  </si>
  <si>
    <r>
      <rPr>
        <sz val="12"/>
        <rFont val="宋体"/>
        <family val="3"/>
        <charset val="134"/>
      </rPr>
      <t>温度适应性：低温（</t>
    </r>
    <r>
      <rPr>
        <sz val="12"/>
        <rFont val="Arial"/>
        <family val="2"/>
      </rPr>
      <t>-10</t>
    </r>
    <r>
      <rPr>
        <sz val="12"/>
        <rFont val="宋体"/>
        <family val="3"/>
        <charset val="134"/>
      </rPr>
      <t>℃）</t>
    </r>
    <phoneticPr fontId="21" type="noConversion"/>
  </si>
  <si>
    <r>
      <rPr>
        <sz val="12"/>
        <rFont val="宋体"/>
        <family val="3"/>
        <charset val="134"/>
      </rPr>
      <t>温度适应性：高温（</t>
    </r>
    <r>
      <rPr>
        <sz val="12"/>
        <rFont val="Arial"/>
        <family val="2"/>
      </rPr>
      <t>40</t>
    </r>
    <r>
      <rPr>
        <sz val="12"/>
        <rFont val="宋体"/>
        <family val="3"/>
        <charset val="134"/>
      </rPr>
      <t>℃）</t>
    </r>
    <phoneticPr fontId="21" type="noConversion"/>
  </si>
  <si>
    <t>JJF 2012-2022</t>
    <phoneticPr fontId="4" type="noConversion"/>
  </si>
  <si>
    <r>
      <t>(18~22)</t>
    </r>
    <r>
      <rPr>
        <sz val="12"/>
        <rFont val="宋体"/>
        <family val="3"/>
        <charset val="134"/>
      </rPr>
      <t>℃</t>
    </r>
    <phoneticPr fontId="4" type="noConversion"/>
  </si>
  <si>
    <t>(54~72)%RH</t>
    <phoneticPr fontId="4" type="noConversion"/>
  </si>
  <si>
    <r>
      <t>5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</si>
  <si>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t>5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</si>
  <si>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t>UWG4A LP Z2-NB</t>
    <phoneticPr fontId="4" type="noConversion"/>
  </si>
  <si>
    <t>2582928138</t>
    <phoneticPr fontId="4" type="noConversion"/>
  </si>
  <si>
    <t>(0.016~6)m³/h</t>
    <phoneticPr fontId="4" type="noConversion"/>
  </si>
  <si>
    <t>2026E70-40-000007</t>
    <phoneticPr fontId="4" type="noConversion"/>
  </si>
  <si>
    <t>(62~64)%RH</t>
    <phoneticPr fontId="4" type="noConversion"/>
  </si>
  <si>
    <t>(60~62)%RH</t>
    <phoneticPr fontId="4" type="noConversion"/>
  </si>
  <si>
    <t>(58~60)%RH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</si>
</sst>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00_ "/>
    <numFmt numFmtId="177" formatCode="0.00_ "/>
    <numFmt numFmtId="178" formatCode="0_ "/>
    <numFmt numFmtId="179" formatCode="h:mm:ss;@"/>
    <numFmt numFmtId="180" formatCode="0.0000_);[Red]\(0.0000\)"/>
  </numFmts>
  <fonts count="26" x14ac:knownFonts="1">
    <font>
      <sz val="12"/>
      <name val="宋体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Arial"/>
      <family val="2"/>
    </font>
    <font>
      <i/>
      <sz val="12"/>
      <name val="Arial"/>
      <family val="2"/>
    </font>
    <font>
      <vertAlign val="subscript"/>
      <sz val="12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11"/>
      <name val="Arial"/>
      <family val="2"/>
    </font>
    <font>
      <sz val="11"/>
      <name val="宋体"/>
      <family val="3"/>
      <charset val="134"/>
    </font>
    <font>
      <sz val="16"/>
      <name val="宋体"/>
      <family val="3"/>
      <charset val="134"/>
    </font>
    <font>
      <sz val="14"/>
      <name val="Arial"/>
      <family val="2"/>
    </font>
    <font>
      <sz val="16"/>
      <name val="Arial"/>
      <family val="2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4"/>
      <color theme="1"/>
      <name val="宋体"/>
      <family val="2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6"/>
      <color theme="1"/>
      <name val="宋体"/>
      <family val="2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4">
    <xf numFmtId="0" fontId="0" fillId="0" borderId="0" xfId="0"/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Border="1" applyAlignment="1">
      <alignment vertical="center"/>
    </xf>
    <xf numFmtId="0" fontId="6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6" fillId="0" borderId="5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0" fillId="0" borderId="4" xfId="0" applyBorder="1"/>
    <xf numFmtId="0" fontId="6" fillId="0" borderId="4" xfId="0" applyFont="1" applyBorder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4" xfId="0" applyFont="1" applyBorder="1" applyAlignment="1">
      <alignment vertical="center"/>
    </xf>
    <xf numFmtId="10" fontId="6" fillId="0" borderId="4" xfId="1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8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179" fontId="24" fillId="0" borderId="1" xfId="0" applyNumberFormat="1" applyFont="1" applyBorder="1" applyAlignment="1">
      <alignment horizontal="center"/>
    </xf>
    <xf numFmtId="180" fontId="24" fillId="0" borderId="1" xfId="0" applyNumberFormat="1" applyFont="1" applyBorder="1" applyAlignment="1">
      <alignment horizontal="center"/>
    </xf>
    <xf numFmtId="0" fontId="24" fillId="0" borderId="0" xfId="0" applyFont="1" applyAlignment="1">
      <alignment horizontal="center"/>
    </xf>
    <xf numFmtId="0" fontId="6" fillId="0" borderId="6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5" fillId="0" borderId="9" xfId="0" applyFont="1" applyBorder="1" applyAlignment="1">
      <alignment horizontal="center" vertical="center"/>
    </xf>
    <xf numFmtId="177" fontId="24" fillId="0" borderId="1" xfId="1" applyNumberFormat="1" applyFont="1" applyBorder="1" applyAlignment="1">
      <alignment horizontal="center"/>
    </xf>
    <xf numFmtId="176" fontId="24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177" fontId="6" fillId="0" borderId="0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5" fillId="0" borderId="0" xfId="0" applyFont="1"/>
    <xf numFmtId="178" fontId="6" fillId="0" borderId="0" xfId="0" applyNumberFormat="1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right"/>
    </xf>
    <xf numFmtId="177" fontId="6" fillId="0" borderId="1" xfId="0" applyNumberFormat="1" applyFont="1" applyBorder="1" applyAlignment="1">
      <alignment horizontal="center" vertical="center"/>
    </xf>
    <xf numFmtId="178" fontId="6" fillId="0" borderId="0" xfId="0" applyNumberFormat="1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177" fontId="6" fillId="0" borderId="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5" fillId="0" borderId="5" xfId="0" applyFont="1" applyBorder="1" applyAlignment="1">
      <alignment horizontal="center"/>
    </xf>
    <xf numFmtId="0" fontId="25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10" fontId="6" fillId="0" borderId="1" xfId="0" applyNumberFormat="1" applyFont="1" applyBorder="1" applyAlignment="1">
      <alignment horizontal="center" vertical="center"/>
    </xf>
    <xf numFmtId="10" fontId="6" fillId="0" borderId="1" xfId="1" applyNumberFormat="1" applyFont="1" applyBorder="1" applyAlignment="1">
      <alignment horizontal="center" vertical="center"/>
    </xf>
    <xf numFmtId="177" fontId="6" fillId="0" borderId="9" xfId="0" applyNumberFormat="1" applyFont="1" applyBorder="1" applyAlignment="1">
      <alignment horizontal="center" vertical="center"/>
    </xf>
    <xf numFmtId="177" fontId="6" fillId="0" borderId="10" xfId="0" applyNumberFormat="1" applyFont="1" applyBorder="1" applyAlignment="1">
      <alignment horizontal="center" vertical="center"/>
    </xf>
    <xf numFmtId="177" fontId="6" fillId="0" borderId="13" xfId="0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177" fontId="6" fillId="0" borderId="12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0" fontId="6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77" fontId="6" fillId="0" borderId="4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5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78" fontId="6" fillId="0" borderId="0" xfId="0" applyNumberFormat="1" applyFont="1" applyBorder="1" applyAlignment="1">
      <alignment horizontal="center" vertical="center"/>
    </xf>
    <xf numFmtId="177" fontId="6" fillId="0" borderId="0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left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177" fontId="6" fillId="0" borderId="7" xfId="0" applyNumberFormat="1" applyFont="1" applyBorder="1" applyAlignment="1">
      <alignment horizontal="center" vertical="center"/>
    </xf>
    <xf numFmtId="10" fontId="6" fillId="0" borderId="7" xfId="1" applyNumberFormat="1" applyFont="1" applyBorder="1" applyAlignment="1">
      <alignment horizontal="center" vertical="center"/>
    </xf>
    <xf numFmtId="10" fontId="6" fillId="0" borderId="8" xfId="1" applyNumberFormat="1" applyFont="1" applyBorder="1" applyAlignment="1">
      <alignment horizontal="center" vertical="center"/>
    </xf>
    <xf numFmtId="10" fontId="6" fillId="0" borderId="2" xfId="1" applyNumberFormat="1" applyFont="1" applyBorder="1" applyAlignment="1">
      <alignment horizontal="center" vertical="center"/>
    </xf>
    <xf numFmtId="10" fontId="6" fillId="0" borderId="7" xfId="0" applyNumberFormat="1" applyFont="1" applyBorder="1" applyAlignment="1">
      <alignment horizontal="center" vertical="center"/>
    </xf>
    <xf numFmtId="10" fontId="6" fillId="0" borderId="8" xfId="0" applyNumberFormat="1" applyFont="1" applyBorder="1" applyAlignment="1">
      <alignment horizontal="center" vertical="center"/>
    </xf>
    <xf numFmtId="10" fontId="6" fillId="0" borderId="2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49" fontId="6" fillId="0" borderId="4" xfId="0" applyNumberFormat="1" applyFont="1" applyBorder="1" applyAlignment="1">
      <alignment horizontal="center"/>
    </xf>
    <xf numFmtId="0" fontId="16" fillId="0" borderId="7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/>
    </xf>
    <xf numFmtId="177" fontId="6" fillId="0" borderId="5" xfId="0" applyNumberFormat="1" applyFont="1" applyBorder="1" applyAlignment="1">
      <alignment horizontal="center"/>
    </xf>
    <xf numFmtId="0" fontId="19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right"/>
    </xf>
    <xf numFmtId="2" fontId="6" fillId="0" borderId="1" xfId="1" applyNumberFormat="1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OutlineSymbols="0" workbookViewId="0">
      <selection activeCell="E23" sqref="E23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5" ht="16.5" customHeigh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14.25" customHeight="1" x14ac:dyDescent="0.15">
      <c r="A2" s="6" t="s">
        <v>15</v>
      </c>
      <c r="B2" s="6">
        <v>1</v>
      </c>
      <c r="C2" s="88">
        <v>5.9507219999999998</v>
      </c>
      <c r="D2" s="88">
        <v>59.900399999999998</v>
      </c>
      <c r="E2" s="88">
        <v>68.510000000000005</v>
      </c>
      <c r="F2" s="88">
        <v>100.307</v>
      </c>
      <c r="G2" s="88">
        <v>22.34</v>
      </c>
      <c r="H2" s="88">
        <v>99.014060000000001</v>
      </c>
      <c r="I2" s="88">
        <v>101.005</v>
      </c>
      <c r="J2" s="88">
        <v>21.34</v>
      </c>
      <c r="K2" s="88">
        <v>100</v>
      </c>
      <c r="L2" s="88">
        <v>1</v>
      </c>
      <c r="M2" s="88">
        <v>1</v>
      </c>
      <c r="N2" s="88">
        <v>0</v>
      </c>
      <c r="O2" s="88">
        <v>151</v>
      </c>
    </row>
    <row r="3" spans="1:15" ht="14.25" customHeight="1" x14ac:dyDescent="0.15">
      <c r="A3" s="6" t="s">
        <v>16</v>
      </c>
      <c r="B3" s="6">
        <v>1</v>
      </c>
      <c r="C3" s="88">
        <v>4.1747249999999996</v>
      </c>
      <c r="D3" s="88">
        <v>60.4298</v>
      </c>
      <c r="E3" s="88">
        <v>68.569999999999993</v>
      </c>
      <c r="F3" s="88">
        <v>100.755</v>
      </c>
      <c r="G3" s="88">
        <v>22.36</v>
      </c>
      <c r="H3" s="88">
        <v>70.077160000000006</v>
      </c>
      <c r="I3" s="88">
        <v>101.10299999999999</v>
      </c>
      <c r="J3" s="88">
        <v>21.33</v>
      </c>
      <c r="K3" s="88">
        <v>70</v>
      </c>
      <c r="L3" s="88">
        <v>-0.11</v>
      </c>
      <c r="M3" s="88">
        <v>-0.11</v>
      </c>
      <c r="N3" s="88">
        <v>0</v>
      </c>
      <c r="O3" s="88">
        <v>80</v>
      </c>
    </row>
    <row r="4" spans="1:15" ht="14.25" customHeight="1" x14ac:dyDescent="0.15">
      <c r="A4" s="6" t="s">
        <v>17</v>
      </c>
      <c r="B4" s="6">
        <v>1</v>
      </c>
      <c r="C4" s="88">
        <v>2.4263240000000001</v>
      </c>
      <c r="D4" s="88">
        <v>59.3127</v>
      </c>
      <c r="E4" s="88">
        <v>68.7</v>
      </c>
      <c r="F4" s="88">
        <v>101.05800000000001</v>
      </c>
      <c r="G4" s="88">
        <v>22.36</v>
      </c>
      <c r="H4" s="88">
        <v>39.97551</v>
      </c>
      <c r="I4" s="88">
        <v>101.17100000000001</v>
      </c>
      <c r="J4" s="88">
        <v>21.32</v>
      </c>
      <c r="K4" s="88">
        <v>40</v>
      </c>
      <c r="L4" s="88">
        <v>0.06</v>
      </c>
      <c r="M4" s="88">
        <v>0.06</v>
      </c>
      <c r="N4" s="88">
        <v>0</v>
      </c>
      <c r="O4" s="88">
        <v>33</v>
      </c>
    </row>
    <row r="5" spans="1:15" ht="14.25" customHeight="1" x14ac:dyDescent="0.15">
      <c r="A5" s="6" t="s">
        <v>18</v>
      </c>
      <c r="B5" s="6">
        <v>1</v>
      </c>
      <c r="C5" s="88">
        <v>1.181746</v>
      </c>
      <c r="D5" s="88">
        <v>60.806399999999996</v>
      </c>
      <c r="E5" s="88">
        <v>71.41</v>
      </c>
      <c r="F5" s="88">
        <v>101.05200000000001</v>
      </c>
      <c r="G5" s="88">
        <v>22.35</v>
      </c>
      <c r="H5" s="88">
        <v>19.96048</v>
      </c>
      <c r="I5" s="88">
        <v>101.06399999999999</v>
      </c>
      <c r="J5" s="88">
        <v>20.95</v>
      </c>
      <c r="K5" s="88">
        <v>20</v>
      </c>
      <c r="L5" s="88">
        <v>0.2</v>
      </c>
      <c r="M5" s="88">
        <v>0.2</v>
      </c>
      <c r="N5" s="88">
        <v>0</v>
      </c>
      <c r="O5" s="88">
        <v>11</v>
      </c>
    </row>
    <row r="6" spans="1:15" ht="14.25" customHeight="1" x14ac:dyDescent="0.15">
      <c r="A6" s="6" t="s">
        <v>19</v>
      </c>
      <c r="B6" s="6">
        <v>1</v>
      </c>
      <c r="C6" s="88">
        <v>0.25690600000000002</v>
      </c>
      <c r="D6" s="88">
        <v>280.06720000000001</v>
      </c>
      <c r="E6" s="88">
        <v>68.930000000000007</v>
      </c>
      <c r="F6" s="88">
        <v>101.196</v>
      </c>
      <c r="G6" s="88">
        <v>22.33</v>
      </c>
      <c r="H6" s="88">
        <v>19.986370000000001</v>
      </c>
      <c r="I6" s="88">
        <v>101.197</v>
      </c>
      <c r="J6" s="88">
        <v>21.27</v>
      </c>
      <c r="K6" s="88">
        <v>20</v>
      </c>
      <c r="L6" s="88">
        <v>7.0000000000000007E-2</v>
      </c>
      <c r="M6" s="88">
        <v>7.0000000000000007E-2</v>
      </c>
      <c r="N6" s="88">
        <v>0</v>
      </c>
      <c r="O6" s="88">
        <v>2</v>
      </c>
    </row>
    <row r="7" spans="1:15" ht="14.25" customHeight="1" x14ac:dyDescent="0.15">
      <c r="A7" s="6" t="s">
        <v>15</v>
      </c>
      <c r="B7" s="6">
        <v>1</v>
      </c>
      <c r="C7" s="88">
        <v>5.9495339999999999</v>
      </c>
      <c r="D7" s="88">
        <v>59.997199999999999</v>
      </c>
      <c r="E7" s="88">
        <v>69.05</v>
      </c>
      <c r="F7" s="88">
        <v>100.282</v>
      </c>
      <c r="G7" s="88">
        <v>22.3</v>
      </c>
      <c r="H7" s="88">
        <v>99.154269999999997</v>
      </c>
      <c r="I7" s="88">
        <v>100.98</v>
      </c>
      <c r="J7" s="88">
        <v>21.24</v>
      </c>
      <c r="K7" s="88">
        <v>100</v>
      </c>
      <c r="L7" s="88">
        <v>0.85</v>
      </c>
      <c r="M7" s="88">
        <v>0.85</v>
      </c>
      <c r="N7" s="88">
        <v>0</v>
      </c>
      <c r="O7" s="88">
        <v>151</v>
      </c>
    </row>
    <row r="8" spans="1:15" ht="14.25" customHeight="1" x14ac:dyDescent="0.15">
      <c r="A8" s="6" t="s">
        <v>16</v>
      </c>
      <c r="B8" s="6">
        <v>1</v>
      </c>
      <c r="C8" s="88">
        <v>4.1740870000000001</v>
      </c>
      <c r="D8" s="88">
        <v>60.442799999999998</v>
      </c>
      <c r="E8" s="88">
        <v>69.05</v>
      </c>
      <c r="F8" s="88">
        <v>100.733</v>
      </c>
      <c r="G8" s="88">
        <v>22.33</v>
      </c>
      <c r="H8" s="88">
        <v>70.081530000000001</v>
      </c>
      <c r="I8" s="88">
        <v>101.08199999999999</v>
      </c>
      <c r="J8" s="88">
        <v>21.24</v>
      </c>
      <c r="K8" s="88">
        <v>70</v>
      </c>
      <c r="L8" s="88">
        <v>-0.12</v>
      </c>
      <c r="M8" s="88">
        <v>-0.12</v>
      </c>
      <c r="N8" s="88">
        <v>0</v>
      </c>
      <c r="O8" s="88">
        <v>82</v>
      </c>
    </row>
    <row r="9" spans="1:15" ht="14.25" customHeight="1" x14ac:dyDescent="0.15">
      <c r="A9" s="6" t="s">
        <v>17</v>
      </c>
      <c r="B9" s="6">
        <v>1</v>
      </c>
      <c r="C9" s="88">
        <v>2.4259189999999999</v>
      </c>
      <c r="D9" s="88">
        <v>59.215200000000003</v>
      </c>
      <c r="E9" s="88">
        <v>69</v>
      </c>
      <c r="F9" s="88">
        <v>101.039</v>
      </c>
      <c r="G9" s="88">
        <v>22.34</v>
      </c>
      <c r="H9" s="88">
        <v>39.903129999999997</v>
      </c>
      <c r="I9" s="88">
        <v>101.15</v>
      </c>
      <c r="J9" s="88">
        <v>21.23</v>
      </c>
      <c r="K9" s="88">
        <v>40</v>
      </c>
      <c r="L9" s="88">
        <v>0.24</v>
      </c>
      <c r="M9" s="88">
        <v>0.24</v>
      </c>
      <c r="N9" s="88">
        <v>0</v>
      </c>
      <c r="O9" s="88">
        <v>33</v>
      </c>
    </row>
    <row r="10" spans="1:15" ht="14.25" customHeight="1" x14ac:dyDescent="0.15">
      <c r="A10" s="6" t="s">
        <v>18</v>
      </c>
      <c r="B10" s="6">
        <v>1</v>
      </c>
      <c r="C10" s="88">
        <v>1.1830320000000001</v>
      </c>
      <c r="D10" s="88">
        <v>60.9358</v>
      </c>
      <c r="E10" s="88">
        <v>68.819999999999993</v>
      </c>
      <c r="F10" s="88">
        <v>101.166</v>
      </c>
      <c r="G10" s="88">
        <v>22.34</v>
      </c>
      <c r="H10" s="88">
        <v>20.024719999999999</v>
      </c>
      <c r="I10" s="88">
        <v>101.17700000000001</v>
      </c>
      <c r="J10" s="88">
        <v>21.22</v>
      </c>
      <c r="K10" s="88">
        <v>20</v>
      </c>
      <c r="L10" s="88">
        <v>-0.12</v>
      </c>
      <c r="M10" s="88">
        <v>-0.12</v>
      </c>
      <c r="N10" s="88">
        <v>0</v>
      </c>
      <c r="O10" s="88">
        <v>12</v>
      </c>
    </row>
    <row r="11" spans="1:15" ht="14.25" customHeight="1" x14ac:dyDescent="0.15">
      <c r="A11" s="6" t="s">
        <v>19</v>
      </c>
      <c r="B11" s="6">
        <v>1</v>
      </c>
      <c r="C11" s="88">
        <v>0.25686500000000001</v>
      </c>
      <c r="D11" s="88">
        <v>280.29500000000002</v>
      </c>
      <c r="E11" s="88">
        <v>68.95</v>
      </c>
      <c r="F11" s="88">
        <v>101.18</v>
      </c>
      <c r="G11" s="88">
        <v>22.32</v>
      </c>
      <c r="H11" s="88">
        <v>19.99945</v>
      </c>
      <c r="I11" s="88">
        <v>101.181</v>
      </c>
      <c r="J11" s="88">
        <v>21.19</v>
      </c>
      <c r="K11" s="88">
        <v>20</v>
      </c>
      <c r="L11" s="88">
        <v>0</v>
      </c>
      <c r="M11" s="88">
        <v>0</v>
      </c>
      <c r="N11" s="88">
        <v>0</v>
      </c>
      <c r="O11" s="88">
        <v>2</v>
      </c>
    </row>
    <row r="12" spans="1:15" ht="14.25" customHeight="1" x14ac:dyDescent="0.15">
      <c r="A12" s="6" t="s">
        <v>15</v>
      </c>
      <c r="B12" s="6">
        <v>1</v>
      </c>
      <c r="C12" s="88">
        <v>5.9491769999999997</v>
      </c>
      <c r="D12" s="88">
        <v>59.934199999999997</v>
      </c>
      <c r="E12" s="88">
        <v>68.900000000000006</v>
      </c>
      <c r="F12" s="88">
        <v>100.27</v>
      </c>
      <c r="G12" s="88">
        <v>22.29</v>
      </c>
      <c r="H12" s="88">
        <v>99.044210000000007</v>
      </c>
      <c r="I12" s="88">
        <v>100.967</v>
      </c>
      <c r="J12" s="88">
        <v>21.17</v>
      </c>
      <c r="K12" s="88">
        <v>100</v>
      </c>
      <c r="L12" s="88">
        <v>0.97</v>
      </c>
      <c r="M12" s="88">
        <v>0.97</v>
      </c>
      <c r="N12" s="88">
        <v>0</v>
      </c>
      <c r="O12" s="88">
        <v>152</v>
      </c>
    </row>
    <row r="13" spans="1:15" ht="14.25" customHeight="1" x14ac:dyDescent="0.15">
      <c r="A13" s="6" t="s">
        <v>16</v>
      </c>
      <c r="B13" s="6">
        <v>1</v>
      </c>
      <c r="C13" s="88">
        <v>4.1735470000000001</v>
      </c>
      <c r="D13" s="88">
        <v>60.380099999999999</v>
      </c>
      <c r="E13" s="88">
        <v>68.89</v>
      </c>
      <c r="F13" s="88">
        <v>100.715</v>
      </c>
      <c r="G13" s="88">
        <v>22.33</v>
      </c>
      <c r="H13" s="88">
        <v>69.999769999999998</v>
      </c>
      <c r="I13" s="88">
        <v>101.062</v>
      </c>
      <c r="J13" s="88">
        <v>21.17</v>
      </c>
      <c r="K13" s="88">
        <v>70</v>
      </c>
      <c r="L13" s="88">
        <v>0</v>
      </c>
      <c r="M13" s="88">
        <v>0</v>
      </c>
      <c r="N13" s="88">
        <v>0</v>
      </c>
      <c r="O13" s="88">
        <v>80</v>
      </c>
    </row>
    <row r="14" spans="1:15" ht="14.25" customHeight="1" x14ac:dyDescent="0.15">
      <c r="A14" s="6" t="s">
        <v>17</v>
      </c>
      <c r="B14" s="6">
        <v>1</v>
      </c>
      <c r="C14" s="88">
        <v>2.4255270000000002</v>
      </c>
      <c r="D14" s="88">
        <v>59.290300000000002</v>
      </c>
      <c r="E14" s="88">
        <v>68.89</v>
      </c>
      <c r="F14" s="88">
        <v>101.012</v>
      </c>
      <c r="G14" s="88">
        <v>22.33</v>
      </c>
      <c r="H14" s="88">
        <v>39.947279999999999</v>
      </c>
      <c r="I14" s="88">
        <v>101.125</v>
      </c>
      <c r="J14" s="88">
        <v>21.16</v>
      </c>
      <c r="K14" s="88">
        <v>40</v>
      </c>
      <c r="L14" s="88">
        <v>0.13</v>
      </c>
      <c r="M14" s="88">
        <v>0.13</v>
      </c>
      <c r="N14" s="88">
        <v>0</v>
      </c>
      <c r="O14" s="88">
        <v>33</v>
      </c>
    </row>
    <row r="15" spans="1:15" ht="14.25" customHeight="1" x14ac:dyDescent="0.15">
      <c r="A15" s="6" t="s">
        <v>18</v>
      </c>
      <c r="B15" s="6">
        <v>1</v>
      </c>
      <c r="C15" s="88">
        <v>1.1829160000000001</v>
      </c>
      <c r="D15" s="88">
        <v>60.930799999999998</v>
      </c>
      <c r="E15" s="88">
        <v>68.91</v>
      </c>
      <c r="F15" s="88">
        <v>101.148</v>
      </c>
      <c r="G15" s="88">
        <v>22.33</v>
      </c>
      <c r="H15" s="88">
        <v>20.02111</v>
      </c>
      <c r="I15" s="88">
        <v>101.15900000000001</v>
      </c>
      <c r="J15" s="88">
        <v>21.15</v>
      </c>
      <c r="K15" s="88">
        <v>20</v>
      </c>
      <c r="L15" s="88">
        <v>-0.11</v>
      </c>
      <c r="M15" s="88">
        <v>-0.11</v>
      </c>
      <c r="N15" s="88">
        <v>0</v>
      </c>
      <c r="O15" s="88">
        <v>11</v>
      </c>
    </row>
    <row r="16" spans="1:15" ht="14.25" customHeight="1" x14ac:dyDescent="0.15">
      <c r="A16" s="6" t="s">
        <v>19</v>
      </c>
      <c r="B16" s="6">
        <v>1</v>
      </c>
      <c r="C16" s="88">
        <v>0.25681700000000002</v>
      </c>
      <c r="D16" s="88">
        <v>280.2962</v>
      </c>
      <c r="E16" s="88">
        <v>69.03</v>
      </c>
      <c r="F16" s="88">
        <v>101.163</v>
      </c>
      <c r="G16" s="88">
        <v>22.32</v>
      </c>
      <c r="H16" s="88">
        <v>19.99578</v>
      </c>
      <c r="I16" s="88">
        <v>101.16500000000001</v>
      </c>
      <c r="J16" s="88">
        <v>21.13</v>
      </c>
      <c r="K16" s="88">
        <v>20</v>
      </c>
      <c r="L16" s="88">
        <v>0.02</v>
      </c>
      <c r="M16" s="88">
        <v>0.02</v>
      </c>
      <c r="N16" s="88">
        <v>0</v>
      </c>
      <c r="O16" s="88">
        <v>2</v>
      </c>
    </row>
    <row r="17" spans="1:15" ht="14.25" customHeight="1" x14ac:dyDescent="0.15">
      <c r="A17" s="25" t="s">
        <v>71</v>
      </c>
      <c r="B17" s="6">
        <v>1</v>
      </c>
      <c r="C17" s="88">
        <v>0.16320999999999999</v>
      </c>
      <c r="D17" s="88">
        <v>439.29590000000002</v>
      </c>
      <c r="E17" s="88">
        <v>69.22</v>
      </c>
      <c r="F17" s="88">
        <v>101.169</v>
      </c>
      <c r="G17" s="88">
        <v>22.31</v>
      </c>
      <c r="H17" s="88">
        <v>19.915929999999999</v>
      </c>
      <c r="I17" s="88">
        <v>101.158</v>
      </c>
      <c r="J17" s="88">
        <v>21.1</v>
      </c>
      <c r="K17" s="88">
        <v>20</v>
      </c>
      <c r="L17" s="88">
        <v>0.42</v>
      </c>
      <c r="M17" s="88">
        <v>0.42</v>
      </c>
      <c r="N17" s="88">
        <v>0</v>
      </c>
      <c r="O17" s="88">
        <v>2</v>
      </c>
    </row>
    <row r="18" spans="1:15" ht="14.25" customHeight="1" x14ac:dyDescent="0.15">
      <c r="A18" s="25" t="s">
        <v>72</v>
      </c>
      <c r="B18" s="6">
        <v>1</v>
      </c>
      <c r="C18" s="88">
        <v>8.2052E-2</v>
      </c>
      <c r="D18" s="88">
        <v>440.87779999999998</v>
      </c>
      <c r="E18" s="88">
        <v>69.5</v>
      </c>
      <c r="F18" s="88">
        <v>101.161</v>
      </c>
      <c r="G18" s="88">
        <v>22.31</v>
      </c>
      <c r="H18" s="88">
        <v>10.048579999999999</v>
      </c>
      <c r="I18" s="88">
        <v>101.14100000000001</v>
      </c>
      <c r="J18" s="88">
        <v>21.07</v>
      </c>
      <c r="K18" s="88">
        <v>10</v>
      </c>
      <c r="L18" s="88">
        <v>-0.48</v>
      </c>
      <c r="M18" s="88">
        <v>-0.48</v>
      </c>
      <c r="N18" s="88">
        <v>0</v>
      </c>
      <c r="O18" s="88">
        <v>2</v>
      </c>
    </row>
    <row r="19" spans="1:15" x14ac:dyDescent="0.15">
      <c r="A19" s="25" t="s">
        <v>73</v>
      </c>
      <c r="B19" s="6">
        <v>1</v>
      </c>
      <c r="C19" s="88">
        <v>1.5726E-2</v>
      </c>
      <c r="D19" s="88">
        <v>2292.8110000000001</v>
      </c>
      <c r="E19" s="88">
        <v>71.099999999999994</v>
      </c>
      <c r="F19" s="88">
        <v>101.133</v>
      </c>
      <c r="G19" s="88">
        <v>22.35</v>
      </c>
      <c r="H19" s="88">
        <v>10.01573</v>
      </c>
      <c r="I19" s="88">
        <v>101.105</v>
      </c>
      <c r="J19" s="88">
        <v>20.99</v>
      </c>
      <c r="K19" s="88">
        <v>10</v>
      </c>
      <c r="L19" s="88">
        <v>-0.16</v>
      </c>
      <c r="M19" s="88">
        <v>-0.16</v>
      </c>
      <c r="N19" s="88">
        <v>0</v>
      </c>
      <c r="O19" s="88">
        <v>2</v>
      </c>
    </row>
  </sheetData>
  <phoneticPr fontId="3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OutlineSymbols="0" workbookViewId="0">
      <selection activeCell="D24" sqref="D24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5" ht="16.5" customHeigh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16.5" customHeight="1" x14ac:dyDescent="0.15">
      <c r="A2" s="6" t="s">
        <v>20</v>
      </c>
      <c r="B2" s="6">
        <v>1</v>
      </c>
      <c r="C2" s="88">
        <v>1.5715E-2</v>
      </c>
      <c r="D2" s="88">
        <v>2298.7089999999998</v>
      </c>
      <c r="E2" s="88">
        <v>71.819999999999993</v>
      </c>
      <c r="F2" s="88">
        <v>101.065</v>
      </c>
      <c r="G2" s="88">
        <v>22.34</v>
      </c>
      <c r="H2" s="88">
        <v>10.034800000000001</v>
      </c>
      <c r="I2" s="88">
        <v>101.038</v>
      </c>
      <c r="J2" s="88">
        <v>20.91</v>
      </c>
      <c r="K2" s="88">
        <v>10</v>
      </c>
      <c r="L2" s="88">
        <v>-0.35</v>
      </c>
      <c r="M2" s="88">
        <v>-0.35</v>
      </c>
      <c r="N2" s="88">
        <v>0</v>
      </c>
      <c r="O2" s="88">
        <v>2</v>
      </c>
    </row>
    <row r="3" spans="1:15" ht="14.25" customHeight="1" x14ac:dyDescent="0.15">
      <c r="A3" s="25" t="s">
        <v>74</v>
      </c>
      <c r="B3" s="6">
        <v>1</v>
      </c>
      <c r="C3" s="88">
        <v>8.1892000000000006E-2</v>
      </c>
      <c r="D3" s="88">
        <v>442.32870000000003</v>
      </c>
      <c r="E3" s="88">
        <v>72.83</v>
      </c>
      <c r="F3" s="88">
        <v>100.967</v>
      </c>
      <c r="G3" s="88">
        <v>22.34</v>
      </c>
      <c r="H3" s="88">
        <v>10.06194</v>
      </c>
      <c r="I3" s="88">
        <v>100.947</v>
      </c>
      <c r="J3" s="88">
        <v>20.84</v>
      </c>
      <c r="K3" s="88">
        <v>10</v>
      </c>
      <c r="L3" s="88">
        <v>-0.62</v>
      </c>
      <c r="M3" s="88">
        <v>-0.62</v>
      </c>
      <c r="N3" s="88">
        <v>0</v>
      </c>
      <c r="O3" s="88">
        <v>2</v>
      </c>
    </row>
    <row r="4" spans="1:15" ht="14.25" customHeight="1" x14ac:dyDescent="0.15">
      <c r="A4" s="25" t="s">
        <v>75</v>
      </c>
      <c r="B4" s="6">
        <v>1</v>
      </c>
      <c r="C4" s="88">
        <v>0.16295399999999999</v>
      </c>
      <c r="D4" s="88">
        <v>440.0872</v>
      </c>
      <c r="E4" s="88">
        <v>72.680000000000007</v>
      </c>
      <c r="F4" s="88">
        <v>101.008</v>
      </c>
      <c r="G4" s="88">
        <v>22.31</v>
      </c>
      <c r="H4" s="88">
        <v>19.920490000000001</v>
      </c>
      <c r="I4" s="88">
        <v>100.997</v>
      </c>
      <c r="J4" s="88">
        <v>20.88</v>
      </c>
      <c r="K4" s="88">
        <v>20</v>
      </c>
      <c r="L4" s="88">
        <v>0.4</v>
      </c>
      <c r="M4" s="88">
        <v>0.4</v>
      </c>
      <c r="N4" s="88">
        <v>0</v>
      </c>
      <c r="O4" s="88">
        <v>2</v>
      </c>
    </row>
    <row r="5" spans="1:15" ht="14.25" customHeight="1" x14ac:dyDescent="0.15">
      <c r="A5" s="6" t="s">
        <v>19</v>
      </c>
      <c r="B5" s="6">
        <v>1</v>
      </c>
      <c r="C5" s="88">
        <v>0.256384</v>
      </c>
      <c r="D5" s="88">
        <v>280.52420000000001</v>
      </c>
      <c r="E5" s="88">
        <v>72.510000000000005</v>
      </c>
      <c r="F5" s="88">
        <v>100.991</v>
      </c>
      <c r="G5" s="88">
        <v>22.31</v>
      </c>
      <c r="H5" s="88">
        <v>19.978280000000002</v>
      </c>
      <c r="I5" s="88">
        <v>100.99299999999999</v>
      </c>
      <c r="J5" s="88">
        <v>20.87</v>
      </c>
      <c r="K5" s="88">
        <v>20</v>
      </c>
      <c r="L5" s="88">
        <v>0.11</v>
      </c>
      <c r="M5" s="88">
        <v>0.11</v>
      </c>
      <c r="N5" s="88">
        <v>0</v>
      </c>
      <c r="O5" s="88">
        <v>2</v>
      </c>
    </row>
    <row r="6" spans="1:15" ht="14.25" customHeight="1" x14ac:dyDescent="0.15">
      <c r="A6" s="6" t="s">
        <v>18</v>
      </c>
      <c r="B6" s="6">
        <v>1</v>
      </c>
      <c r="C6" s="88">
        <v>1.180904</v>
      </c>
      <c r="D6" s="88">
        <v>60.919400000000003</v>
      </c>
      <c r="E6" s="88">
        <v>72.38</v>
      </c>
      <c r="F6" s="88">
        <v>100.971</v>
      </c>
      <c r="G6" s="88">
        <v>22.32</v>
      </c>
      <c r="H6" s="88">
        <v>19.983319999999999</v>
      </c>
      <c r="I6" s="88">
        <v>100.983</v>
      </c>
      <c r="J6" s="88">
        <v>20.87</v>
      </c>
      <c r="K6" s="88">
        <v>20</v>
      </c>
      <c r="L6" s="88">
        <v>0.08</v>
      </c>
      <c r="M6" s="88">
        <v>0.08</v>
      </c>
      <c r="N6" s="88">
        <v>0</v>
      </c>
      <c r="O6" s="88">
        <v>11</v>
      </c>
    </row>
    <row r="7" spans="1:15" ht="14.25" customHeight="1" x14ac:dyDescent="0.15">
      <c r="A7" s="6" t="s">
        <v>17</v>
      </c>
      <c r="B7" s="6">
        <v>1</v>
      </c>
      <c r="C7" s="88">
        <v>2.4215970000000002</v>
      </c>
      <c r="D7" s="88">
        <v>59.383600000000001</v>
      </c>
      <c r="E7" s="88">
        <v>72.39</v>
      </c>
      <c r="F7" s="88">
        <v>100.842</v>
      </c>
      <c r="G7" s="88">
        <v>22.31</v>
      </c>
      <c r="H7" s="88">
        <v>39.945309999999999</v>
      </c>
      <c r="I7" s="88">
        <v>100.952</v>
      </c>
      <c r="J7" s="88">
        <v>20.87</v>
      </c>
      <c r="K7" s="88">
        <v>40</v>
      </c>
      <c r="L7" s="88">
        <v>0.14000000000000001</v>
      </c>
      <c r="M7" s="88">
        <v>0.14000000000000001</v>
      </c>
      <c r="N7" s="88">
        <v>0</v>
      </c>
      <c r="O7" s="88">
        <v>32</v>
      </c>
    </row>
    <row r="8" spans="1:15" ht="14.25" customHeight="1" x14ac:dyDescent="0.15">
      <c r="A8" s="6" t="s">
        <v>16</v>
      </c>
      <c r="B8" s="6">
        <v>1</v>
      </c>
      <c r="C8" s="88">
        <v>4.1669260000000001</v>
      </c>
      <c r="D8" s="88">
        <v>60.537100000000002</v>
      </c>
      <c r="E8" s="88">
        <v>72.33</v>
      </c>
      <c r="F8" s="88">
        <v>100.53700000000001</v>
      </c>
      <c r="G8" s="88">
        <v>22.31</v>
      </c>
      <c r="H8" s="88">
        <v>70.070440000000005</v>
      </c>
      <c r="I8" s="88">
        <v>100.884</v>
      </c>
      <c r="J8" s="88">
        <v>20.87</v>
      </c>
      <c r="K8" s="88">
        <v>70</v>
      </c>
      <c r="L8" s="88">
        <v>-0.1</v>
      </c>
      <c r="M8" s="88">
        <v>-0.1</v>
      </c>
      <c r="N8" s="88">
        <v>0</v>
      </c>
      <c r="O8" s="88">
        <v>82</v>
      </c>
    </row>
    <row r="9" spans="1:15" ht="14.25" customHeight="1" x14ac:dyDescent="0.15">
      <c r="A9" s="6" t="s">
        <v>15</v>
      </c>
      <c r="B9" s="6">
        <v>1</v>
      </c>
      <c r="C9" s="88">
        <v>5.9399839999999999</v>
      </c>
      <c r="D9" s="88">
        <v>59.983499999999999</v>
      </c>
      <c r="E9" s="88">
        <v>72.55</v>
      </c>
      <c r="F9" s="88">
        <v>100.087</v>
      </c>
      <c r="G9" s="88">
        <v>22.3</v>
      </c>
      <c r="H9" s="88">
        <v>98.97251</v>
      </c>
      <c r="I9" s="88">
        <v>100.783</v>
      </c>
      <c r="J9" s="88">
        <v>20.87</v>
      </c>
      <c r="K9" s="88">
        <v>100</v>
      </c>
      <c r="L9" s="88">
        <v>1.04</v>
      </c>
      <c r="M9" s="88">
        <v>1.04</v>
      </c>
      <c r="N9" s="88">
        <v>0</v>
      </c>
      <c r="O9" s="88">
        <v>152</v>
      </c>
    </row>
    <row r="10" spans="1:15" ht="14.25" customHeight="1" x14ac:dyDescent="0.15">
      <c r="A10" s="6" t="s">
        <v>19</v>
      </c>
      <c r="B10" s="6">
        <v>1</v>
      </c>
      <c r="C10" s="88">
        <v>0.256351</v>
      </c>
      <c r="D10" s="88">
        <v>280.64980000000003</v>
      </c>
      <c r="E10" s="88">
        <v>73.16</v>
      </c>
      <c r="F10" s="88">
        <v>100.979</v>
      </c>
      <c r="G10" s="88">
        <v>22.32</v>
      </c>
      <c r="H10" s="88">
        <v>19.984660000000002</v>
      </c>
      <c r="I10" s="88">
        <v>100.98</v>
      </c>
      <c r="J10" s="88">
        <v>20.86</v>
      </c>
      <c r="K10" s="88">
        <v>20</v>
      </c>
      <c r="L10" s="88">
        <v>0.08</v>
      </c>
      <c r="M10" s="88">
        <v>0.08</v>
      </c>
      <c r="N10" s="88">
        <v>0</v>
      </c>
      <c r="O10" s="88">
        <v>2</v>
      </c>
    </row>
    <row r="11" spans="1:15" ht="14.25" customHeight="1" x14ac:dyDescent="0.15">
      <c r="A11" s="6" t="s">
        <v>18</v>
      </c>
      <c r="B11" s="6">
        <v>1</v>
      </c>
      <c r="C11" s="88">
        <v>1.1807799999999999</v>
      </c>
      <c r="D11" s="88">
        <v>60.915799999999997</v>
      </c>
      <c r="E11" s="88">
        <v>73.569999999999993</v>
      </c>
      <c r="F11" s="88">
        <v>100.953</v>
      </c>
      <c r="G11" s="88">
        <v>22.32</v>
      </c>
      <c r="H11" s="88">
        <v>19.980039999999999</v>
      </c>
      <c r="I11" s="88">
        <v>100.964</v>
      </c>
      <c r="J11" s="88">
        <v>20.86</v>
      </c>
      <c r="K11" s="88">
        <v>20</v>
      </c>
      <c r="L11" s="88">
        <v>0.1</v>
      </c>
      <c r="M11" s="88">
        <v>0.1</v>
      </c>
      <c r="N11" s="88">
        <v>0</v>
      </c>
      <c r="O11" s="88">
        <v>11</v>
      </c>
    </row>
    <row r="12" spans="1:15" ht="14.25" customHeight="1" x14ac:dyDescent="0.15">
      <c r="A12" s="6" t="s">
        <v>17</v>
      </c>
      <c r="B12" s="6">
        <v>1</v>
      </c>
      <c r="C12" s="88">
        <v>2.4213369999999999</v>
      </c>
      <c r="D12" s="88">
        <v>59.394199999999998</v>
      </c>
      <c r="E12" s="88">
        <v>73.73</v>
      </c>
      <c r="F12" s="88">
        <v>100.818</v>
      </c>
      <c r="G12" s="88">
        <v>22.32</v>
      </c>
      <c r="H12" s="88">
        <v>39.948169999999998</v>
      </c>
      <c r="I12" s="88">
        <v>100.93</v>
      </c>
      <c r="J12" s="88">
        <v>20.86</v>
      </c>
      <c r="K12" s="88">
        <v>40</v>
      </c>
      <c r="L12" s="88">
        <v>0.13</v>
      </c>
      <c r="M12" s="88">
        <v>0.13</v>
      </c>
      <c r="N12" s="88">
        <v>0</v>
      </c>
      <c r="O12" s="88">
        <v>33</v>
      </c>
    </row>
    <row r="13" spans="1:15" ht="14.25" customHeight="1" x14ac:dyDescent="0.15">
      <c r="A13" s="6" t="s">
        <v>16</v>
      </c>
      <c r="B13" s="6">
        <v>1</v>
      </c>
      <c r="C13" s="88">
        <v>4.1665140000000003</v>
      </c>
      <c r="D13" s="88">
        <v>60.555599999999998</v>
      </c>
      <c r="E13" s="88">
        <v>73.88</v>
      </c>
      <c r="F13" s="88">
        <v>100.51600000000001</v>
      </c>
      <c r="G13" s="88">
        <v>22.31</v>
      </c>
      <c r="H13" s="88">
        <v>70.08493</v>
      </c>
      <c r="I13" s="88">
        <v>100.863</v>
      </c>
      <c r="J13" s="88">
        <v>20.87</v>
      </c>
      <c r="K13" s="88">
        <v>70</v>
      </c>
      <c r="L13" s="88">
        <v>-0.12</v>
      </c>
      <c r="M13" s="88">
        <v>-0.12</v>
      </c>
      <c r="N13" s="88">
        <v>0</v>
      </c>
      <c r="O13" s="88">
        <v>80</v>
      </c>
    </row>
    <row r="14" spans="1:15" ht="14.25" customHeight="1" x14ac:dyDescent="0.15">
      <c r="A14" s="6" t="s">
        <v>15</v>
      </c>
      <c r="B14" s="6">
        <v>1</v>
      </c>
      <c r="C14" s="88">
        <v>5.9391910000000001</v>
      </c>
      <c r="D14" s="88">
        <v>60.048400000000001</v>
      </c>
      <c r="E14" s="88">
        <v>74.040000000000006</v>
      </c>
      <c r="F14" s="88">
        <v>100.063</v>
      </c>
      <c r="G14" s="88">
        <v>22.31</v>
      </c>
      <c r="H14" s="88">
        <v>99.066370000000006</v>
      </c>
      <c r="I14" s="88">
        <v>100.759</v>
      </c>
      <c r="J14" s="88">
        <v>20.87</v>
      </c>
      <c r="K14" s="88">
        <v>100</v>
      </c>
      <c r="L14" s="88">
        <v>0.94</v>
      </c>
      <c r="M14" s="88">
        <v>0.94</v>
      </c>
      <c r="N14" s="88">
        <v>0</v>
      </c>
      <c r="O14" s="88">
        <v>150</v>
      </c>
    </row>
    <row r="15" spans="1:15" ht="14.25" customHeight="1" x14ac:dyDescent="0.15">
      <c r="A15" s="6" t="s">
        <v>19</v>
      </c>
      <c r="B15" s="6">
        <v>1</v>
      </c>
      <c r="C15" s="88">
        <v>0.25630500000000001</v>
      </c>
      <c r="D15" s="88">
        <v>280.50279999999998</v>
      </c>
      <c r="E15" s="88">
        <v>74.23</v>
      </c>
      <c r="F15" s="88">
        <v>100.959</v>
      </c>
      <c r="G15" s="88">
        <v>22.33</v>
      </c>
      <c r="H15" s="88">
        <v>19.970669999999998</v>
      </c>
      <c r="I15" s="88">
        <v>100.96</v>
      </c>
      <c r="J15" s="88">
        <v>20.86</v>
      </c>
      <c r="K15" s="88">
        <v>20</v>
      </c>
      <c r="L15" s="88">
        <v>0.15</v>
      </c>
      <c r="M15" s="88">
        <v>0.15</v>
      </c>
      <c r="N15" s="88">
        <v>0</v>
      </c>
      <c r="O15" s="88">
        <v>2</v>
      </c>
    </row>
    <row r="16" spans="1:15" ht="14.25" customHeight="1" x14ac:dyDescent="0.15">
      <c r="A16" s="6" t="s">
        <v>18</v>
      </c>
      <c r="B16" s="6">
        <v>1</v>
      </c>
      <c r="C16" s="88">
        <v>1.1806460000000001</v>
      </c>
      <c r="D16" s="88">
        <v>60.945599999999999</v>
      </c>
      <c r="E16" s="88">
        <v>73.84</v>
      </c>
      <c r="F16" s="88">
        <v>100.93899999999999</v>
      </c>
      <c r="G16" s="88">
        <v>22.33</v>
      </c>
      <c r="H16" s="88">
        <v>19.987539999999999</v>
      </c>
      <c r="I16" s="88">
        <v>100.95</v>
      </c>
      <c r="J16" s="88">
        <v>20.85</v>
      </c>
      <c r="K16" s="88">
        <v>20</v>
      </c>
      <c r="L16" s="88">
        <v>0.06</v>
      </c>
      <c r="M16" s="88">
        <v>0.06</v>
      </c>
      <c r="N16" s="88">
        <v>0</v>
      </c>
      <c r="O16" s="88">
        <v>12</v>
      </c>
    </row>
    <row r="17" spans="1:15" ht="14.25" customHeight="1" x14ac:dyDescent="0.15">
      <c r="A17" s="6" t="s">
        <v>17</v>
      </c>
      <c r="B17" s="6">
        <v>1</v>
      </c>
      <c r="C17" s="88">
        <v>2.4210880000000001</v>
      </c>
      <c r="D17" s="88">
        <v>59.392800000000001</v>
      </c>
      <c r="E17" s="88">
        <v>73.790000000000006</v>
      </c>
      <c r="F17" s="88">
        <v>100.806</v>
      </c>
      <c r="G17" s="88">
        <v>22.33</v>
      </c>
      <c r="H17" s="88">
        <v>39.943100000000001</v>
      </c>
      <c r="I17" s="88">
        <v>100.919</v>
      </c>
      <c r="J17" s="88">
        <v>20.85</v>
      </c>
      <c r="K17" s="88">
        <v>40</v>
      </c>
      <c r="L17" s="88">
        <v>0.14000000000000001</v>
      </c>
      <c r="M17" s="88">
        <v>0.14000000000000001</v>
      </c>
      <c r="N17" s="88">
        <v>0</v>
      </c>
      <c r="O17" s="88">
        <v>33</v>
      </c>
    </row>
    <row r="18" spans="1:15" ht="14.25" customHeight="1" x14ac:dyDescent="0.15">
      <c r="A18" s="6" t="s">
        <v>16</v>
      </c>
      <c r="B18" s="6">
        <v>1</v>
      </c>
      <c r="C18" s="88">
        <v>4.1661599999999996</v>
      </c>
      <c r="D18" s="88">
        <v>60.548000000000002</v>
      </c>
      <c r="E18" s="88">
        <v>73.52</v>
      </c>
      <c r="F18" s="88">
        <v>100.505</v>
      </c>
      <c r="G18" s="88">
        <v>22.32</v>
      </c>
      <c r="H18" s="88">
        <v>70.070189999999997</v>
      </c>
      <c r="I18" s="88">
        <v>100.852</v>
      </c>
      <c r="J18" s="88">
        <v>20.85</v>
      </c>
      <c r="K18" s="88">
        <v>70</v>
      </c>
      <c r="L18" s="88">
        <v>-0.1</v>
      </c>
      <c r="M18" s="88">
        <v>-0.1</v>
      </c>
      <c r="N18" s="88">
        <v>0</v>
      </c>
      <c r="O18" s="88">
        <v>80</v>
      </c>
    </row>
    <row r="19" spans="1:15" ht="14.25" customHeight="1" x14ac:dyDescent="0.15">
      <c r="A19" s="6" t="s">
        <v>15</v>
      </c>
      <c r="B19" s="6">
        <v>1</v>
      </c>
      <c r="C19" s="88">
        <v>5.9388709999999998</v>
      </c>
      <c r="D19" s="88">
        <v>59.981400000000001</v>
      </c>
      <c r="E19" s="88">
        <v>73.59</v>
      </c>
      <c r="F19" s="88">
        <v>100.053</v>
      </c>
      <c r="G19" s="88">
        <v>22.32</v>
      </c>
      <c r="H19" s="88">
        <v>98.950500000000005</v>
      </c>
      <c r="I19" s="88">
        <v>100.749</v>
      </c>
      <c r="J19" s="88">
        <v>20.86</v>
      </c>
      <c r="K19" s="88">
        <v>100</v>
      </c>
      <c r="L19" s="88">
        <v>1.06</v>
      </c>
      <c r="M19" s="88">
        <v>1.06</v>
      </c>
      <c r="N19" s="88">
        <v>0</v>
      </c>
      <c r="O19" s="88">
        <v>149</v>
      </c>
    </row>
  </sheetData>
  <phoneticPr fontId="4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selection activeCell="D18" sqref="D18"/>
    </sheetView>
  </sheetViews>
  <sheetFormatPr defaultRowHeight="14.25" x14ac:dyDescent="0.15"/>
  <cols>
    <col min="3" max="3" width="13.75" customWidth="1"/>
    <col min="4" max="4" width="14.375" customWidth="1"/>
    <col min="6" max="6" width="14.875" customWidth="1"/>
    <col min="7" max="7" width="14.5" customWidth="1"/>
    <col min="8" max="8" width="13.5" customWidth="1"/>
    <col min="9" max="9" width="15.875" customWidth="1"/>
    <col min="10" max="10" width="16.25" customWidth="1"/>
    <col min="11" max="11" width="13.25" customWidth="1"/>
    <col min="12" max="12" width="13.75" customWidth="1"/>
  </cols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" t="s">
        <v>15</v>
      </c>
      <c r="B2" s="6">
        <v>1</v>
      </c>
      <c r="C2" s="88">
        <v>5.9007639999999997</v>
      </c>
      <c r="D2" s="88">
        <v>60.375599999999999</v>
      </c>
      <c r="E2" s="88">
        <v>69.19</v>
      </c>
      <c r="F2" s="88">
        <v>99.617000000000004</v>
      </c>
      <c r="G2" s="88">
        <v>23.08</v>
      </c>
      <c r="H2" s="88">
        <v>98.961709999999997</v>
      </c>
      <c r="I2" s="88">
        <v>100.842</v>
      </c>
      <c r="J2" s="88">
        <v>21.37</v>
      </c>
      <c r="K2" s="88">
        <v>100</v>
      </c>
      <c r="L2" s="88">
        <v>1.05</v>
      </c>
      <c r="M2" s="88">
        <v>0.95</v>
      </c>
      <c r="N2" s="88">
        <v>0.19</v>
      </c>
      <c r="O2" s="88">
        <v>156</v>
      </c>
    </row>
    <row r="3" spans="1:15" x14ac:dyDescent="0.15">
      <c r="A3" s="28"/>
      <c r="B3" s="6">
        <v>2</v>
      </c>
      <c r="C3" s="88">
        <v>5.9009229999999997</v>
      </c>
      <c r="D3" s="88">
        <v>60.446599999999997</v>
      </c>
      <c r="E3" s="88">
        <v>69</v>
      </c>
      <c r="F3" s="88">
        <v>99.616</v>
      </c>
      <c r="G3" s="88">
        <v>23.09</v>
      </c>
      <c r="H3" s="88">
        <v>99.080759999999998</v>
      </c>
      <c r="I3" s="88">
        <v>100.84</v>
      </c>
      <c r="J3" s="88">
        <v>21.38</v>
      </c>
      <c r="K3" s="88">
        <v>100</v>
      </c>
      <c r="L3" s="88">
        <v>0.93</v>
      </c>
      <c r="M3" s="88"/>
      <c r="N3" s="88"/>
      <c r="O3" s="88">
        <v>155</v>
      </c>
    </row>
    <row r="4" spans="1:15" x14ac:dyDescent="0.15">
      <c r="A4" s="28"/>
      <c r="B4" s="6">
        <v>3</v>
      </c>
      <c r="C4" s="88">
        <v>5.9013270000000002</v>
      </c>
      <c r="D4" s="88">
        <v>60.482199999999999</v>
      </c>
      <c r="E4" s="88">
        <v>68.95</v>
      </c>
      <c r="F4" s="88">
        <v>99.617000000000004</v>
      </c>
      <c r="G4" s="88">
        <v>23.09</v>
      </c>
      <c r="H4" s="88">
        <v>99.145899999999997</v>
      </c>
      <c r="I4" s="88">
        <v>100.842</v>
      </c>
      <c r="J4" s="88">
        <v>21.38</v>
      </c>
      <c r="K4" s="88">
        <v>100</v>
      </c>
      <c r="L4" s="88">
        <v>0.86</v>
      </c>
      <c r="M4" s="88"/>
      <c r="N4" s="88"/>
      <c r="O4" s="88">
        <v>155</v>
      </c>
    </row>
    <row r="5" spans="1:15" x14ac:dyDescent="0.15">
      <c r="A5" s="28" t="s">
        <v>86</v>
      </c>
      <c r="B5" s="6">
        <v>1</v>
      </c>
      <c r="C5" s="88">
        <v>0.25586300000000001</v>
      </c>
      <c r="D5" s="88">
        <v>281.43299999999999</v>
      </c>
      <c r="E5" s="88">
        <v>68.33</v>
      </c>
      <c r="F5" s="88">
        <v>100.982</v>
      </c>
      <c r="G5" s="88">
        <v>23.57</v>
      </c>
      <c r="H5" s="88">
        <v>20.002300000000002</v>
      </c>
      <c r="I5" s="88">
        <v>101.01</v>
      </c>
      <c r="J5" s="88">
        <v>22.41</v>
      </c>
      <c r="K5" s="88">
        <v>20</v>
      </c>
      <c r="L5" s="88">
        <v>-0.01</v>
      </c>
      <c r="M5" s="88">
        <v>-0.01</v>
      </c>
      <c r="N5" s="88">
        <v>0.04</v>
      </c>
      <c r="O5" s="88">
        <v>2</v>
      </c>
    </row>
    <row r="6" spans="1:15" x14ac:dyDescent="0.15">
      <c r="A6" s="6"/>
      <c r="B6" s="6">
        <v>2</v>
      </c>
      <c r="C6" s="88">
        <v>0.255884</v>
      </c>
      <c r="D6" s="88">
        <v>281.36200000000002</v>
      </c>
      <c r="E6" s="88">
        <v>67.95</v>
      </c>
      <c r="F6" s="88">
        <v>100.98699999999999</v>
      </c>
      <c r="G6" s="88">
        <v>23.53</v>
      </c>
      <c r="H6" s="88">
        <v>19.998909999999999</v>
      </c>
      <c r="I6" s="88">
        <v>101.01600000000001</v>
      </c>
      <c r="J6" s="88">
        <v>22.34</v>
      </c>
      <c r="K6" s="88">
        <v>20</v>
      </c>
      <c r="L6" s="88">
        <v>0.01</v>
      </c>
      <c r="M6" s="88"/>
      <c r="N6" s="88"/>
      <c r="O6" s="88">
        <v>2</v>
      </c>
    </row>
    <row r="7" spans="1:15" x14ac:dyDescent="0.15">
      <c r="A7" s="28"/>
      <c r="B7" s="6">
        <v>3</v>
      </c>
      <c r="C7" s="88">
        <v>0.255882</v>
      </c>
      <c r="D7" s="88">
        <v>281.45080000000002</v>
      </c>
      <c r="E7" s="88">
        <v>67.790000000000006</v>
      </c>
      <c r="F7" s="88">
        <v>100.98399999999999</v>
      </c>
      <c r="G7" s="88">
        <v>23.5</v>
      </c>
      <c r="H7" s="88">
        <v>20.00508</v>
      </c>
      <c r="I7" s="88">
        <v>101.01300000000001</v>
      </c>
      <c r="J7" s="88">
        <v>22.27</v>
      </c>
      <c r="K7" s="88">
        <v>20</v>
      </c>
      <c r="L7" s="88">
        <v>-0.03</v>
      </c>
      <c r="M7" s="88"/>
      <c r="N7" s="88"/>
      <c r="O7" s="88">
        <v>2</v>
      </c>
    </row>
    <row r="8" spans="1:15" x14ac:dyDescent="0.15">
      <c r="A8" s="28" t="s">
        <v>87</v>
      </c>
      <c r="B8" s="6">
        <v>1</v>
      </c>
      <c r="C8" s="88">
        <v>1.5679999999999999E-2</v>
      </c>
      <c r="D8" s="88">
        <v>2299.3180000000002</v>
      </c>
      <c r="E8" s="88">
        <v>68.08</v>
      </c>
      <c r="F8" s="88">
        <v>101.017</v>
      </c>
      <c r="G8" s="88">
        <v>23.42</v>
      </c>
      <c r="H8" s="88">
        <v>10.014900000000001</v>
      </c>
      <c r="I8" s="88">
        <v>101.014</v>
      </c>
      <c r="J8" s="88">
        <v>21.99</v>
      </c>
      <c r="K8" s="88">
        <v>10</v>
      </c>
      <c r="L8" s="88">
        <v>-0.15</v>
      </c>
      <c r="M8" s="88">
        <v>-0.17</v>
      </c>
      <c r="N8" s="88">
        <v>0.15</v>
      </c>
      <c r="O8" s="88">
        <v>0</v>
      </c>
    </row>
    <row r="9" spans="1:15" x14ac:dyDescent="0.15">
      <c r="A9" s="28"/>
      <c r="B9" s="6">
        <v>2</v>
      </c>
      <c r="C9" s="88">
        <v>1.5678999999999998E-2</v>
      </c>
      <c r="D9" s="88">
        <v>2302.1950000000002</v>
      </c>
      <c r="E9" s="88">
        <v>68.41</v>
      </c>
      <c r="F9" s="88">
        <v>100.998</v>
      </c>
      <c r="G9" s="88">
        <v>23.3</v>
      </c>
      <c r="H9" s="88">
        <v>10.026400000000001</v>
      </c>
      <c r="I9" s="88">
        <v>100.995</v>
      </c>
      <c r="J9" s="88">
        <v>21.64</v>
      </c>
      <c r="K9" s="88">
        <v>10</v>
      </c>
      <c r="L9" s="88">
        <v>-0.26</v>
      </c>
      <c r="M9" s="88"/>
      <c r="N9" s="88"/>
      <c r="O9" s="88">
        <v>0</v>
      </c>
    </row>
    <row r="10" spans="1:15" x14ac:dyDescent="0.15">
      <c r="A10" s="28"/>
      <c r="B10" s="6">
        <v>3</v>
      </c>
      <c r="C10" s="88">
        <v>1.5677E-2</v>
      </c>
      <c r="D10" s="88">
        <v>2298.7840000000001</v>
      </c>
      <c r="E10" s="88">
        <v>69</v>
      </c>
      <c r="F10" s="88">
        <v>100.974</v>
      </c>
      <c r="G10" s="88">
        <v>23.18</v>
      </c>
      <c r="H10" s="88">
        <v>10.010859999999999</v>
      </c>
      <c r="I10" s="88">
        <v>100.971</v>
      </c>
      <c r="J10" s="88">
        <v>21.4</v>
      </c>
      <c r="K10" s="88">
        <v>10</v>
      </c>
      <c r="L10" s="88">
        <v>-0.11</v>
      </c>
      <c r="M10" s="88"/>
      <c r="N10" s="88"/>
      <c r="O10" s="88">
        <v>0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B13" sqref="B13"/>
    </sheetView>
  </sheetViews>
  <sheetFormatPr defaultRowHeight="14.25" x14ac:dyDescent="0.15"/>
  <cols>
    <col min="2" max="3" width="11.5" bestFit="1" customWidth="1"/>
    <col min="5" max="5" width="12.375" customWidth="1"/>
    <col min="6" max="6" width="13.25" customWidth="1"/>
    <col min="7" max="7" width="13.625" customWidth="1"/>
    <col min="8" max="8" width="14.375" customWidth="1"/>
    <col min="9" max="10" width="13.625" customWidth="1"/>
  </cols>
  <sheetData>
    <row r="1" spans="1:12" ht="18.75" x14ac:dyDescent="0.15">
      <c r="A1" s="31" t="s">
        <v>97</v>
      </c>
      <c r="B1" s="32" t="s">
        <v>98</v>
      </c>
      <c r="C1" s="32" t="s">
        <v>99</v>
      </c>
      <c r="D1" s="32" t="s">
        <v>100</v>
      </c>
      <c r="E1" s="32" t="s">
        <v>101</v>
      </c>
      <c r="F1" s="32" t="s">
        <v>102</v>
      </c>
      <c r="G1" s="32" t="s">
        <v>103</v>
      </c>
      <c r="H1" s="32" t="s">
        <v>104</v>
      </c>
      <c r="I1" s="32" t="s">
        <v>105</v>
      </c>
      <c r="J1" s="32" t="s">
        <v>118</v>
      </c>
      <c r="K1" s="33" t="s">
        <v>106</v>
      </c>
      <c r="L1" s="33" t="s">
        <v>107</v>
      </c>
    </row>
    <row r="2" spans="1:12" ht="20.25" x14ac:dyDescent="0.25">
      <c r="A2" s="34">
        <v>138</v>
      </c>
      <c r="B2" s="42">
        <v>6.7072000000000003</v>
      </c>
      <c r="C2" s="42">
        <v>7.7366999999999999</v>
      </c>
      <c r="D2" s="34">
        <f>C2-B2</f>
        <v>1.0294999999999996</v>
      </c>
      <c r="E2" s="34">
        <v>5.9010999999999996</v>
      </c>
      <c r="F2" s="35">
        <v>0.4707175925925926</v>
      </c>
      <c r="G2" s="35">
        <v>0.47791666666666671</v>
      </c>
      <c r="H2" s="35">
        <f>G2-F2</f>
        <v>7.1990740740741077E-3</v>
      </c>
      <c r="I2" s="36">
        <f>(K2+L2/60)/60</f>
        <v>0.17277777777777778</v>
      </c>
      <c r="J2" s="41">
        <f>(D2-E2*I2)/(E2*I2)*100</f>
        <v>0.97305418178885539</v>
      </c>
      <c r="K2" s="37">
        <v>10</v>
      </c>
      <c r="L2" s="37">
        <v>22</v>
      </c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F15" sqref="F15"/>
    </sheetView>
  </sheetViews>
  <sheetFormatPr defaultRowHeight="14.25" x14ac:dyDescent="0.15"/>
  <cols>
    <col min="2" max="2" width="15.375" customWidth="1"/>
    <col min="3" max="3" width="14.25" customWidth="1"/>
    <col min="5" max="5" width="11.625" customWidth="1"/>
    <col min="6" max="6" width="14.625" customWidth="1"/>
  </cols>
  <sheetData>
    <row r="1" spans="1:7" x14ac:dyDescent="0.15">
      <c r="A1" t="s">
        <v>119</v>
      </c>
    </row>
    <row r="2" spans="1:7" x14ac:dyDescent="0.15">
      <c r="A2" t="s">
        <v>121</v>
      </c>
      <c r="B2" s="55">
        <v>2582928138</v>
      </c>
    </row>
    <row r="3" spans="1:7" x14ac:dyDescent="0.15">
      <c r="A3" s="56" t="s">
        <v>122</v>
      </c>
      <c r="B3" s="56" t="s">
        <v>123</v>
      </c>
      <c r="C3" s="56" t="s">
        <v>124</v>
      </c>
      <c r="D3" s="56" t="s">
        <v>125</v>
      </c>
      <c r="E3" s="56" t="s">
        <v>126</v>
      </c>
      <c r="F3" s="56" t="s">
        <v>127</v>
      </c>
      <c r="G3" s="56" t="s">
        <v>128</v>
      </c>
    </row>
    <row r="4" spans="1:7" x14ac:dyDescent="0.15">
      <c r="A4" s="89" t="s">
        <v>129</v>
      </c>
      <c r="B4" s="57">
        <v>300</v>
      </c>
      <c r="C4" s="57">
        <v>316.089</v>
      </c>
      <c r="D4" s="57">
        <v>101.745</v>
      </c>
      <c r="E4" s="57">
        <v>39.950000000000003</v>
      </c>
      <c r="F4" s="57">
        <f t="shared" ref="F4:F9" si="0">C4*D4/101.325*293.15/(E4+273.15)</f>
        <v>297.17527764027784</v>
      </c>
      <c r="G4" s="58">
        <f t="shared" ref="G4:G9" si="1">B4/F4-1</f>
        <v>9.5052400796993286E-3</v>
      </c>
    </row>
    <row r="5" spans="1:7" x14ac:dyDescent="0.15">
      <c r="A5" s="89"/>
      <c r="B5" s="57">
        <v>300</v>
      </c>
      <c r="C5" s="57">
        <v>316.22199999999998</v>
      </c>
      <c r="D5" s="57">
        <v>101.74</v>
      </c>
      <c r="E5" s="57">
        <v>39.950000000000003</v>
      </c>
      <c r="F5" s="57">
        <f t="shared" si="0"/>
        <v>297.28570928906458</v>
      </c>
      <c r="G5" s="58">
        <f t="shared" si="1"/>
        <v>9.1302428139798941E-3</v>
      </c>
    </row>
    <row r="6" spans="1:7" x14ac:dyDescent="0.15">
      <c r="A6" s="89" t="s">
        <v>130</v>
      </c>
      <c r="B6" s="57">
        <v>200</v>
      </c>
      <c r="C6" s="57">
        <v>210.99299999999999</v>
      </c>
      <c r="D6" s="57">
        <v>101.976</v>
      </c>
      <c r="E6" s="57">
        <v>39.96</v>
      </c>
      <c r="F6" s="57">
        <f t="shared" si="0"/>
        <v>198.81189639370893</v>
      </c>
      <c r="G6" s="58">
        <f t="shared" si="1"/>
        <v>5.9760186781692148E-3</v>
      </c>
    </row>
    <row r="7" spans="1:7" x14ac:dyDescent="0.15">
      <c r="A7" s="89"/>
      <c r="B7" s="57">
        <v>200</v>
      </c>
      <c r="C7" s="57">
        <v>211.08199999999999</v>
      </c>
      <c r="D7" s="57">
        <v>101.976</v>
      </c>
      <c r="E7" s="57">
        <v>39.94</v>
      </c>
      <c r="F7" s="57">
        <f t="shared" si="0"/>
        <v>198.90846356304374</v>
      </c>
      <c r="G7" s="58">
        <f t="shared" si="1"/>
        <v>5.4876319358341252E-3</v>
      </c>
    </row>
    <row r="8" spans="1:7" x14ac:dyDescent="0.15">
      <c r="A8" s="89" t="s">
        <v>131</v>
      </c>
      <c r="B8" s="57">
        <v>75</v>
      </c>
      <c r="C8" s="57">
        <v>79.096999999999994</v>
      </c>
      <c r="D8" s="57">
        <v>102.218</v>
      </c>
      <c r="E8" s="57">
        <v>39.880000000000003</v>
      </c>
      <c r="F8" s="57">
        <f t="shared" si="0"/>
        <v>74.726512824328211</v>
      </c>
      <c r="G8" s="58">
        <f t="shared" si="1"/>
        <v>3.6598412709920591E-3</v>
      </c>
    </row>
    <row r="9" spans="1:7" x14ac:dyDescent="0.15">
      <c r="A9" s="89"/>
      <c r="B9" s="57">
        <v>75</v>
      </c>
      <c r="C9" s="57">
        <v>79.164000000000001</v>
      </c>
      <c r="D9" s="57">
        <v>102.21</v>
      </c>
      <c r="E9" s="57">
        <v>40</v>
      </c>
      <c r="F9" s="57">
        <f t="shared" si="0"/>
        <v>74.755299964627227</v>
      </c>
      <c r="G9" s="58">
        <f t="shared" si="1"/>
        <v>3.2733469799273163E-3</v>
      </c>
    </row>
    <row r="11" spans="1:7" x14ac:dyDescent="0.15">
      <c r="A11" t="s">
        <v>120</v>
      </c>
    </row>
    <row r="12" spans="1:7" x14ac:dyDescent="0.15">
      <c r="A12" t="s">
        <v>121</v>
      </c>
      <c r="B12" s="55">
        <v>2582928138</v>
      </c>
    </row>
    <row r="13" spans="1:7" x14ac:dyDescent="0.15">
      <c r="A13" s="56" t="s">
        <v>122</v>
      </c>
      <c r="B13" s="56" t="s">
        <v>123</v>
      </c>
      <c r="C13" s="56" t="s">
        <v>124</v>
      </c>
      <c r="D13" s="56" t="s">
        <v>125</v>
      </c>
      <c r="E13" s="56" t="s">
        <v>126</v>
      </c>
      <c r="F13" s="56" t="s">
        <v>127</v>
      </c>
      <c r="G13" s="56" t="s">
        <v>128</v>
      </c>
    </row>
    <row r="14" spans="1:7" x14ac:dyDescent="0.15">
      <c r="A14" s="89" t="s">
        <v>129</v>
      </c>
      <c r="B14" s="57">
        <v>300</v>
      </c>
      <c r="C14" s="57">
        <v>268.36</v>
      </c>
      <c r="D14" s="57">
        <v>101.70699999999999</v>
      </c>
      <c r="E14" s="57">
        <v>-8.84</v>
      </c>
      <c r="F14" s="57">
        <f t="shared" ref="F14:F19" si="2">C14*D14/101.325*293.15/(E14+273.15)</f>
        <v>298.76403687006564</v>
      </c>
      <c r="G14" s="58">
        <f t="shared" ref="G14:G19" si="3">B14/F14-1</f>
        <v>4.1369207046559886E-3</v>
      </c>
    </row>
    <row r="15" spans="1:7" x14ac:dyDescent="0.15">
      <c r="A15" s="89"/>
      <c r="B15" s="57">
        <v>300</v>
      </c>
      <c r="C15" s="57">
        <v>268.21600000000001</v>
      </c>
      <c r="D15" s="57">
        <v>101.70699999999999</v>
      </c>
      <c r="E15" s="57">
        <v>-8.8699999999999992</v>
      </c>
      <c r="F15" s="57">
        <f t="shared" si="2"/>
        <v>298.63761857831145</v>
      </c>
      <c r="G15" s="58">
        <f t="shared" si="3"/>
        <v>4.5619886341656812E-3</v>
      </c>
    </row>
    <row r="16" spans="1:7" x14ac:dyDescent="0.15">
      <c r="A16" s="89" t="s">
        <v>130</v>
      </c>
      <c r="B16" s="57">
        <v>200</v>
      </c>
      <c r="C16" s="57">
        <v>179.58199999999999</v>
      </c>
      <c r="D16" s="57">
        <v>101.833</v>
      </c>
      <c r="E16" s="57">
        <v>-8.9</v>
      </c>
      <c r="F16" s="57">
        <f t="shared" si="2"/>
        <v>200.22100288411843</v>
      </c>
      <c r="G16" s="58">
        <f t="shared" si="3"/>
        <v>-1.1037947115185576E-3</v>
      </c>
    </row>
    <row r="17" spans="1:7" x14ac:dyDescent="0.15">
      <c r="A17" s="89"/>
      <c r="B17" s="57">
        <v>200</v>
      </c>
      <c r="C17" s="57">
        <v>179.614</v>
      </c>
      <c r="D17" s="57">
        <v>101.828</v>
      </c>
      <c r="E17" s="57">
        <v>-8.92</v>
      </c>
      <c r="F17" s="57">
        <f t="shared" si="2"/>
        <v>200.26200498897316</v>
      </c>
      <c r="G17" s="58">
        <f t="shared" si="3"/>
        <v>-1.3083110247876784E-3</v>
      </c>
    </row>
    <row r="18" spans="1:7" x14ac:dyDescent="0.15">
      <c r="A18" s="89" t="s">
        <v>131</v>
      </c>
      <c r="B18" s="57">
        <v>75</v>
      </c>
      <c r="C18" s="57">
        <v>67.085999999999999</v>
      </c>
      <c r="D18" s="57">
        <v>101.96899999999999</v>
      </c>
      <c r="E18" s="57">
        <v>-8.94</v>
      </c>
      <c r="F18" s="57">
        <f t="shared" si="2"/>
        <v>74.907291330789022</v>
      </c>
      <c r="G18" s="58">
        <f t="shared" si="3"/>
        <v>1.2376454623299615E-3</v>
      </c>
    </row>
    <row r="19" spans="1:7" x14ac:dyDescent="0.15">
      <c r="A19" s="89"/>
      <c r="B19" s="57">
        <v>75</v>
      </c>
      <c r="C19" s="57">
        <v>67.132000000000005</v>
      </c>
      <c r="D19" s="57">
        <v>101.965</v>
      </c>
      <c r="E19" s="57">
        <v>-8.9499999999999993</v>
      </c>
      <c r="F19" s="57">
        <f t="shared" si="2"/>
        <v>74.958550922345538</v>
      </c>
      <c r="G19" s="58">
        <f t="shared" si="3"/>
        <v>5.5295996446624862E-4</v>
      </c>
    </row>
  </sheetData>
  <mergeCells count="6">
    <mergeCell ref="A18:A19"/>
    <mergeCell ref="A4:A5"/>
    <mergeCell ref="A6:A7"/>
    <mergeCell ref="A8:A9"/>
    <mergeCell ref="A14:A15"/>
    <mergeCell ref="A16:A17"/>
  </mergeCells>
  <phoneticPr fontId="2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E12" sqref="E12"/>
    </sheetView>
  </sheetViews>
  <sheetFormatPr defaultRowHeight="14.25" x14ac:dyDescent="0.15"/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5" t="s">
        <v>15</v>
      </c>
      <c r="B2" s="65">
        <v>1</v>
      </c>
      <c r="C2" s="65">
        <v>6.0096829999999999</v>
      </c>
      <c r="D2" s="65">
        <v>59.277500000000003</v>
      </c>
      <c r="E2" s="65">
        <v>68.64</v>
      </c>
      <c r="F2" s="65">
        <v>101.041</v>
      </c>
      <c r="G2" s="65">
        <v>20.77</v>
      </c>
      <c r="H2" s="65">
        <v>98.955280000000002</v>
      </c>
      <c r="I2" s="65">
        <v>101.779</v>
      </c>
      <c r="J2" s="65">
        <v>20.32</v>
      </c>
      <c r="K2" s="65">
        <v>100</v>
      </c>
      <c r="L2" s="65">
        <v>1.06</v>
      </c>
      <c r="M2" s="65">
        <v>1.06</v>
      </c>
      <c r="N2" s="65">
        <v>0</v>
      </c>
      <c r="O2" s="65">
        <v>154</v>
      </c>
    </row>
    <row r="3" spans="1:15" x14ac:dyDescent="0.15">
      <c r="A3" s="65" t="s">
        <v>18</v>
      </c>
      <c r="B3" s="65">
        <v>1</v>
      </c>
      <c r="C3" s="65">
        <v>1.192461</v>
      </c>
      <c r="D3" s="65">
        <v>60.258699999999997</v>
      </c>
      <c r="E3" s="65">
        <v>69.14</v>
      </c>
      <c r="F3" s="65">
        <v>101.736</v>
      </c>
      <c r="G3" s="65">
        <v>20.8</v>
      </c>
      <c r="H3" s="65">
        <v>19.960049999999999</v>
      </c>
      <c r="I3" s="65">
        <v>101.774</v>
      </c>
      <c r="J3" s="65">
        <v>20.32</v>
      </c>
      <c r="K3" s="65">
        <v>20</v>
      </c>
      <c r="L3" s="65">
        <v>0.2</v>
      </c>
      <c r="M3" s="65">
        <v>0.2</v>
      </c>
      <c r="N3" s="65">
        <v>0</v>
      </c>
      <c r="O3" s="65">
        <v>12</v>
      </c>
    </row>
    <row r="4" spans="1:15" x14ac:dyDescent="0.15">
      <c r="A4" s="65" t="s">
        <v>20</v>
      </c>
      <c r="B4" s="65">
        <v>1</v>
      </c>
      <c r="C4" s="65">
        <v>1.5859000000000002E-2</v>
      </c>
      <c r="D4" s="65">
        <v>2274.7260000000001</v>
      </c>
      <c r="E4" s="65">
        <v>63.57</v>
      </c>
      <c r="F4" s="65">
        <v>101.739</v>
      </c>
      <c r="G4" s="65">
        <v>20.83</v>
      </c>
      <c r="H4" s="65">
        <v>10.02055</v>
      </c>
      <c r="I4" s="65">
        <v>101.738</v>
      </c>
      <c r="J4" s="65">
        <v>20.32</v>
      </c>
      <c r="K4" s="65">
        <v>10</v>
      </c>
      <c r="L4" s="65">
        <v>-0.21</v>
      </c>
      <c r="M4" s="65">
        <v>-0.21</v>
      </c>
      <c r="N4" s="65">
        <v>0</v>
      </c>
      <c r="O4" s="65">
        <v>2</v>
      </c>
    </row>
    <row r="5" spans="1:15" x14ac:dyDescent="0.15">
      <c r="A5" s="65" t="s">
        <v>15</v>
      </c>
      <c r="B5" s="65">
        <v>1</v>
      </c>
      <c r="C5" s="65">
        <v>6.0041919999999998</v>
      </c>
      <c r="D5" s="65">
        <v>59.292000000000002</v>
      </c>
      <c r="E5" s="65">
        <v>67.23</v>
      </c>
      <c r="F5" s="65">
        <v>100.968</v>
      </c>
      <c r="G5" s="65">
        <v>20.87</v>
      </c>
      <c r="H5" s="65">
        <v>98.889039999999994</v>
      </c>
      <c r="I5" s="65">
        <v>101.70699999999999</v>
      </c>
      <c r="J5" s="65">
        <v>20.309999999999999</v>
      </c>
      <c r="K5" s="65">
        <v>100</v>
      </c>
      <c r="L5" s="65">
        <v>1.1200000000000001</v>
      </c>
      <c r="M5" s="65">
        <v>1.1200000000000001</v>
      </c>
      <c r="N5" s="65">
        <v>0</v>
      </c>
      <c r="O5" s="65">
        <v>156</v>
      </c>
    </row>
    <row r="6" spans="1:15" x14ac:dyDescent="0.15">
      <c r="A6" s="65" t="s">
        <v>18</v>
      </c>
      <c r="B6" s="65">
        <v>1</v>
      </c>
      <c r="C6" s="65">
        <v>1.191398</v>
      </c>
      <c r="D6" s="65">
        <v>60.335099999999997</v>
      </c>
      <c r="E6" s="65">
        <v>67.959999999999994</v>
      </c>
      <c r="F6" s="65">
        <v>101.66800000000001</v>
      </c>
      <c r="G6" s="65">
        <v>20.92</v>
      </c>
      <c r="H6" s="65">
        <v>19.96754</v>
      </c>
      <c r="I6" s="65">
        <v>101.705</v>
      </c>
      <c r="J6" s="65">
        <v>20.309999999999999</v>
      </c>
      <c r="K6" s="65">
        <v>20</v>
      </c>
      <c r="L6" s="65">
        <v>0.16</v>
      </c>
      <c r="M6" s="65">
        <v>0.16</v>
      </c>
      <c r="N6" s="65">
        <v>0</v>
      </c>
      <c r="O6" s="65">
        <v>12</v>
      </c>
    </row>
    <row r="7" spans="1:15" x14ac:dyDescent="0.15">
      <c r="A7" s="65" t="s">
        <v>20</v>
      </c>
      <c r="B7" s="65">
        <v>1</v>
      </c>
      <c r="C7" s="65">
        <v>1.5842999999999999E-2</v>
      </c>
      <c r="D7" s="65">
        <v>2281.011</v>
      </c>
      <c r="E7" s="65">
        <v>63.56</v>
      </c>
      <c r="F7" s="65">
        <v>101.67100000000001</v>
      </c>
      <c r="G7" s="65">
        <v>20.98</v>
      </c>
      <c r="H7" s="65">
        <v>10.038539999999999</v>
      </c>
      <c r="I7" s="65">
        <v>101.669</v>
      </c>
      <c r="J7" s="65">
        <v>20.32</v>
      </c>
      <c r="K7" s="65">
        <v>10</v>
      </c>
      <c r="L7" s="65">
        <v>-0.38</v>
      </c>
      <c r="M7" s="65">
        <v>-0.38</v>
      </c>
      <c r="N7" s="65">
        <v>0</v>
      </c>
      <c r="O7" s="65">
        <v>2</v>
      </c>
    </row>
  </sheetData>
  <phoneticPr fontId="2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selection activeCell="M12" sqref="M12"/>
    </sheetView>
  </sheetViews>
  <sheetFormatPr defaultRowHeight="14.25" x14ac:dyDescent="0.15"/>
  <sheetData>
    <row r="1" spans="1:17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7" x14ac:dyDescent="0.15">
      <c r="A2" s="65" t="s">
        <v>15</v>
      </c>
      <c r="B2" s="65">
        <v>1</v>
      </c>
      <c r="C2" s="65">
        <v>6.0296310000000002</v>
      </c>
      <c r="D2" s="65">
        <v>58.972900000000003</v>
      </c>
      <c r="E2" s="65">
        <v>63.76</v>
      </c>
      <c r="F2" s="65">
        <v>101.467</v>
      </c>
      <c r="G2" s="65">
        <v>21.4</v>
      </c>
      <c r="H2" s="65">
        <v>98.773560000000003</v>
      </c>
      <c r="I2" s="65">
        <v>102.029</v>
      </c>
      <c r="J2" s="65">
        <v>20.5</v>
      </c>
      <c r="K2" s="65">
        <v>100</v>
      </c>
      <c r="L2" s="65">
        <v>1.24</v>
      </c>
      <c r="M2" s="65">
        <v>1.24</v>
      </c>
      <c r="N2" s="65">
        <v>0</v>
      </c>
      <c r="O2" s="65">
        <v>174</v>
      </c>
      <c r="Q2" s="66" t="s">
        <v>154</v>
      </c>
    </row>
    <row r="3" spans="1:17" x14ac:dyDescent="0.15">
      <c r="A3" s="65" t="s">
        <v>17</v>
      </c>
      <c r="B3" s="65">
        <v>1</v>
      </c>
      <c r="C3" s="65">
        <v>2.4508169999999998</v>
      </c>
      <c r="D3" s="65">
        <v>58.564300000000003</v>
      </c>
      <c r="E3" s="65">
        <v>64.63</v>
      </c>
      <c r="F3" s="65">
        <v>101.923</v>
      </c>
      <c r="G3" s="65">
        <v>21.42</v>
      </c>
      <c r="H3" s="65">
        <v>39.86956</v>
      </c>
      <c r="I3" s="65">
        <v>102.02800000000001</v>
      </c>
      <c r="J3" s="65">
        <v>20.5</v>
      </c>
      <c r="K3" s="65">
        <v>40</v>
      </c>
      <c r="L3" s="65">
        <v>0.33</v>
      </c>
      <c r="M3" s="65">
        <v>0.33</v>
      </c>
      <c r="N3" s="65">
        <v>0</v>
      </c>
      <c r="O3" s="65">
        <v>34</v>
      </c>
    </row>
    <row r="4" spans="1:17" x14ac:dyDescent="0.15">
      <c r="A4" s="65" t="s">
        <v>155</v>
      </c>
      <c r="B4" s="65">
        <v>1</v>
      </c>
      <c r="C4" s="65">
        <v>1.5081070000000001</v>
      </c>
      <c r="D4" s="65">
        <v>95.528999999999996</v>
      </c>
      <c r="E4" s="65">
        <v>65.290000000000006</v>
      </c>
      <c r="F4" s="65">
        <v>101.991</v>
      </c>
      <c r="G4" s="65">
        <v>21.42</v>
      </c>
      <c r="H4" s="65">
        <v>40.018889999999999</v>
      </c>
      <c r="I4" s="65">
        <v>102.033</v>
      </c>
      <c r="J4" s="65">
        <v>20.5</v>
      </c>
      <c r="K4" s="65">
        <v>40</v>
      </c>
      <c r="L4" s="65">
        <v>-0.05</v>
      </c>
      <c r="M4" s="65">
        <v>-0.05</v>
      </c>
      <c r="N4" s="65">
        <v>0</v>
      </c>
      <c r="O4" s="65">
        <v>12</v>
      </c>
    </row>
    <row r="5" spans="1:17" x14ac:dyDescent="0.15">
      <c r="A5" s="65" t="s">
        <v>15</v>
      </c>
      <c r="B5" s="65">
        <v>1</v>
      </c>
      <c r="C5" s="65">
        <v>6.0301830000000001</v>
      </c>
      <c r="D5" s="65">
        <v>59.079500000000003</v>
      </c>
      <c r="E5" s="65">
        <v>65.599999999999994</v>
      </c>
      <c r="F5" s="65">
        <v>101.468</v>
      </c>
      <c r="G5" s="65">
        <v>21.4</v>
      </c>
      <c r="H5" s="65">
        <v>98.961169999999996</v>
      </c>
      <c r="I5" s="65">
        <v>102.029</v>
      </c>
      <c r="J5" s="65">
        <v>20.5</v>
      </c>
      <c r="K5" s="65">
        <v>100</v>
      </c>
      <c r="L5" s="65">
        <v>1.05</v>
      </c>
      <c r="M5" s="65">
        <v>1.05</v>
      </c>
      <c r="N5" s="65">
        <v>0</v>
      </c>
      <c r="O5" s="65">
        <v>176</v>
      </c>
    </row>
    <row r="6" spans="1:17" x14ac:dyDescent="0.15">
      <c r="A6" s="65" t="s">
        <v>17</v>
      </c>
      <c r="B6" s="65">
        <v>1</v>
      </c>
      <c r="C6" s="65">
        <v>2.450987</v>
      </c>
      <c r="D6" s="65">
        <v>58.528799999999997</v>
      </c>
      <c r="E6" s="65">
        <v>65.44</v>
      </c>
      <c r="F6" s="65">
        <v>101.92700000000001</v>
      </c>
      <c r="G6" s="65">
        <v>21.43</v>
      </c>
      <c r="H6" s="65">
        <v>39.848140000000001</v>
      </c>
      <c r="I6" s="65">
        <v>102.032</v>
      </c>
      <c r="J6" s="65">
        <v>20.5</v>
      </c>
      <c r="K6" s="65">
        <v>40</v>
      </c>
      <c r="L6" s="65">
        <v>0.38</v>
      </c>
      <c r="M6" s="65">
        <v>0.38</v>
      </c>
      <c r="N6" s="65">
        <v>0</v>
      </c>
      <c r="O6" s="65">
        <v>34</v>
      </c>
    </row>
    <row r="7" spans="1:17" x14ac:dyDescent="0.15">
      <c r="A7" s="65" t="s">
        <v>155</v>
      </c>
      <c r="B7" s="65">
        <v>1</v>
      </c>
      <c r="C7" s="65">
        <v>1.5080560000000001</v>
      </c>
      <c r="D7" s="65">
        <v>95.582300000000004</v>
      </c>
      <c r="E7" s="65">
        <v>63.97</v>
      </c>
      <c r="F7" s="65">
        <v>101.99299999999999</v>
      </c>
      <c r="G7" s="65">
        <v>21.42</v>
      </c>
      <c r="H7" s="65">
        <v>40.039859999999997</v>
      </c>
      <c r="I7" s="65">
        <v>102.035</v>
      </c>
      <c r="J7" s="65">
        <v>20.5</v>
      </c>
      <c r="K7" s="65">
        <v>40</v>
      </c>
      <c r="L7" s="65">
        <v>-0.1</v>
      </c>
      <c r="M7" s="65">
        <v>-0.1</v>
      </c>
      <c r="N7" s="65">
        <v>0</v>
      </c>
      <c r="O7" s="65">
        <v>12</v>
      </c>
    </row>
    <row r="9" spans="1:17" x14ac:dyDescent="0.15">
      <c r="A9" s="65" t="s">
        <v>15</v>
      </c>
      <c r="B9" s="65">
        <v>1</v>
      </c>
      <c r="C9" s="65">
        <v>4.2295990000000003</v>
      </c>
      <c r="D9" s="65">
        <v>85.222200000000001</v>
      </c>
      <c r="E9" s="65">
        <v>68.400000000000006</v>
      </c>
      <c r="F9" s="65">
        <v>101.756</v>
      </c>
      <c r="G9" s="65">
        <v>20.07</v>
      </c>
      <c r="H9" s="65">
        <v>99.126599999999996</v>
      </c>
      <c r="I9" s="65">
        <v>102.02200000000001</v>
      </c>
      <c r="J9" s="65">
        <v>19.98</v>
      </c>
      <c r="K9" s="65">
        <v>100</v>
      </c>
      <c r="L9" s="65">
        <v>-0.13</v>
      </c>
      <c r="M9" s="65">
        <v>0.88</v>
      </c>
      <c r="N9" s="65">
        <v>0</v>
      </c>
      <c r="O9" s="65">
        <v>214</v>
      </c>
      <c r="Q9" s="66" t="s">
        <v>156</v>
      </c>
    </row>
    <row r="10" spans="1:17" x14ac:dyDescent="0.15">
      <c r="A10" s="65" t="s">
        <v>17</v>
      </c>
      <c r="B10" s="65">
        <v>1</v>
      </c>
      <c r="C10" s="65">
        <v>2.4546049999999999</v>
      </c>
      <c r="D10" s="65">
        <v>58.630800000000001</v>
      </c>
      <c r="E10" s="65">
        <v>68.92</v>
      </c>
      <c r="F10" s="65">
        <v>101.925</v>
      </c>
      <c r="G10" s="65">
        <v>20.09</v>
      </c>
      <c r="H10" s="65">
        <v>39.976520000000001</v>
      </c>
      <c r="I10" s="65">
        <v>102.02200000000001</v>
      </c>
      <c r="J10" s="65">
        <v>19.989999999999998</v>
      </c>
      <c r="K10" s="65">
        <v>40</v>
      </c>
      <c r="L10" s="65">
        <v>0.06</v>
      </c>
      <c r="M10" s="65">
        <v>0.06</v>
      </c>
      <c r="N10" s="65">
        <v>0</v>
      </c>
      <c r="O10" s="65">
        <v>78</v>
      </c>
    </row>
    <row r="11" spans="1:17" x14ac:dyDescent="0.15">
      <c r="A11" s="65" t="s">
        <v>155</v>
      </c>
      <c r="B11" s="65">
        <v>1</v>
      </c>
      <c r="C11" s="65">
        <v>1.510305</v>
      </c>
      <c r="D11" s="65">
        <v>95.468900000000005</v>
      </c>
      <c r="E11" s="65">
        <v>69.08</v>
      </c>
      <c r="F11" s="65">
        <v>101.983</v>
      </c>
      <c r="G11" s="65">
        <v>20.100000000000001</v>
      </c>
      <c r="H11" s="65">
        <v>40.052</v>
      </c>
      <c r="I11" s="65">
        <v>102.02200000000001</v>
      </c>
      <c r="J11" s="65">
        <v>20</v>
      </c>
      <c r="K11" s="65">
        <v>40</v>
      </c>
      <c r="L11" s="65">
        <v>-0.13</v>
      </c>
      <c r="M11" s="65">
        <v>-0.13</v>
      </c>
      <c r="N11" s="65">
        <v>0</v>
      </c>
      <c r="O11" s="65">
        <v>32</v>
      </c>
    </row>
    <row r="12" spans="1:17" x14ac:dyDescent="0.15">
      <c r="A12" s="65" t="s">
        <v>15</v>
      </c>
      <c r="B12" s="65">
        <v>1</v>
      </c>
      <c r="C12" s="65">
        <v>4.2297260000000003</v>
      </c>
      <c r="D12" s="65">
        <v>85.322199999999995</v>
      </c>
      <c r="E12" s="65">
        <v>68.36</v>
      </c>
      <c r="F12" s="65">
        <v>101.756</v>
      </c>
      <c r="G12" s="65">
        <v>20.100000000000001</v>
      </c>
      <c r="H12" s="65">
        <v>99.247100000000003</v>
      </c>
      <c r="I12" s="65">
        <v>102.02200000000001</v>
      </c>
      <c r="J12" s="65">
        <v>20.010000000000002</v>
      </c>
      <c r="K12" s="65">
        <v>100</v>
      </c>
      <c r="L12" s="65">
        <v>-0.25</v>
      </c>
      <c r="M12" s="65">
        <v>0.76</v>
      </c>
      <c r="N12" s="65">
        <v>0</v>
      </c>
      <c r="O12" s="65">
        <v>214</v>
      </c>
    </row>
    <row r="13" spans="1:17" x14ac:dyDescent="0.15">
      <c r="A13" s="65" t="s">
        <v>17</v>
      </c>
      <c r="B13" s="65">
        <v>1</v>
      </c>
      <c r="C13" s="65">
        <v>2.4546540000000001</v>
      </c>
      <c r="D13" s="65">
        <v>58.530799999999999</v>
      </c>
      <c r="E13" s="65">
        <v>67.22</v>
      </c>
      <c r="F13" s="65">
        <v>101.926</v>
      </c>
      <c r="G13" s="65">
        <v>20.12</v>
      </c>
      <c r="H13" s="65">
        <v>39.909129999999998</v>
      </c>
      <c r="I13" s="65">
        <v>102.02200000000001</v>
      </c>
      <c r="J13" s="65">
        <v>20.02</v>
      </c>
      <c r="K13" s="65">
        <v>40</v>
      </c>
      <c r="L13" s="65">
        <v>0.23</v>
      </c>
      <c r="M13" s="65">
        <v>0.23</v>
      </c>
      <c r="N13" s="65">
        <v>0</v>
      </c>
      <c r="O13" s="65">
        <v>78</v>
      </c>
    </row>
    <row r="14" spans="1:17" x14ac:dyDescent="0.15">
      <c r="A14" s="65" t="s">
        <v>155</v>
      </c>
      <c r="B14" s="65">
        <v>1</v>
      </c>
      <c r="C14" s="65">
        <v>1.5101830000000001</v>
      </c>
      <c r="D14" s="65">
        <v>95.518799999999999</v>
      </c>
      <c r="E14" s="65">
        <v>65.239999999999995</v>
      </c>
      <c r="F14" s="65">
        <v>101.982</v>
      </c>
      <c r="G14" s="65">
        <v>20.13</v>
      </c>
      <c r="H14" s="65">
        <v>40.069690000000001</v>
      </c>
      <c r="I14" s="65">
        <v>102.023</v>
      </c>
      <c r="J14" s="65">
        <v>20.02</v>
      </c>
      <c r="K14" s="65">
        <v>40</v>
      </c>
      <c r="L14" s="65">
        <v>-0.17</v>
      </c>
      <c r="M14" s="65">
        <v>-0.17</v>
      </c>
      <c r="N14" s="65">
        <v>0</v>
      </c>
      <c r="O14" s="65">
        <v>32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D26" sqref="D26"/>
    </sheetView>
  </sheetViews>
  <sheetFormatPr defaultRowHeight="14.25" x14ac:dyDescent="0.15"/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" t="s">
        <v>15</v>
      </c>
      <c r="B2" s="6">
        <v>1</v>
      </c>
      <c r="C2">
        <v>5.9788439999999996</v>
      </c>
      <c r="D2">
        <v>59.576900000000002</v>
      </c>
      <c r="E2">
        <v>76.92</v>
      </c>
      <c r="F2">
        <v>100.294</v>
      </c>
      <c r="G2">
        <v>19.27</v>
      </c>
      <c r="H2">
        <v>98.944730000000007</v>
      </c>
      <c r="I2">
        <v>101.129</v>
      </c>
      <c r="J2">
        <v>19.940000000000001</v>
      </c>
      <c r="K2">
        <v>100</v>
      </c>
      <c r="L2">
        <v>1.07</v>
      </c>
      <c r="M2">
        <v>1.07</v>
      </c>
      <c r="N2">
        <v>0</v>
      </c>
      <c r="O2">
        <v>170</v>
      </c>
    </row>
    <row r="3" spans="1:15" x14ac:dyDescent="0.15">
      <c r="A3" s="6" t="s">
        <v>16</v>
      </c>
      <c r="B3" s="6">
        <v>1</v>
      </c>
      <c r="C3">
        <v>4.2027720000000004</v>
      </c>
      <c r="D3">
        <v>59.967599999999997</v>
      </c>
      <c r="E3">
        <v>76.209999999999994</v>
      </c>
      <c r="F3">
        <v>100.946</v>
      </c>
      <c r="G3">
        <v>19.309999999999999</v>
      </c>
      <c r="H3">
        <v>70.008369999999999</v>
      </c>
      <c r="I3">
        <v>101.364</v>
      </c>
      <c r="J3">
        <v>19.95</v>
      </c>
      <c r="K3">
        <v>70</v>
      </c>
      <c r="L3">
        <v>-0.01</v>
      </c>
      <c r="M3">
        <v>-0.01</v>
      </c>
      <c r="N3">
        <v>0</v>
      </c>
      <c r="O3">
        <v>92</v>
      </c>
    </row>
    <row r="4" spans="1:15" x14ac:dyDescent="0.15">
      <c r="A4" s="6" t="s">
        <v>17</v>
      </c>
      <c r="B4" s="6">
        <v>1</v>
      </c>
      <c r="C4">
        <v>2.4456669999999998</v>
      </c>
      <c r="D4">
        <v>58.670900000000003</v>
      </c>
      <c r="E4">
        <v>75.41</v>
      </c>
      <c r="F4">
        <v>101.389</v>
      </c>
      <c r="G4">
        <v>19.329999999999998</v>
      </c>
      <c r="H4">
        <v>39.858199999999997</v>
      </c>
      <c r="I4">
        <v>101.524</v>
      </c>
      <c r="J4">
        <v>19.96</v>
      </c>
      <c r="K4">
        <v>40</v>
      </c>
      <c r="L4">
        <v>0.36</v>
      </c>
      <c r="M4">
        <v>0.36</v>
      </c>
      <c r="N4">
        <v>0</v>
      </c>
      <c r="O4">
        <v>37</v>
      </c>
    </row>
    <row r="5" spans="1:15" x14ac:dyDescent="0.15">
      <c r="A5" s="6" t="s">
        <v>18</v>
      </c>
      <c r="B5" s="6">
        <v>1</v>
      </c>
      <c r="C5">
        <v>1.193211</v>
      </c>
      <c r="D5">
        <v>60.322899999999997</v>
      </c>
      <c r="E5">
        <v>74.33</v>
      </c>
      <c r="F5">
        <v>101.568</v>
      </c>
      <c r="G5">
        <v>19.34</v>
      </c>
      <c r="H5">
        <v>19.993870000000001</v>
      </c>
      <c r="I5">
        <v>101.58199999999999</v>
      </c>
      <c r="J5">
        <v>19.96</v>
      </c>
      <c r="K5">
        <v>20</v>
      </c>
      <c r="L5">
        <v>0.03</v>
      </c>
      <c r="M5">
        <v>0.03</v>
      </c>
      <c r="N5">
        <v>0</v>
      </c>
      <c r="O5">
        <v>12</v>
      </c>
    </row>
    <row r="6" spans="1:15" x14ac:dyDescent="0.15">
      <c r="A6" s="6" t="s">
        <v>19</v>
      </c>
      <c r="B6" s="6">
        <v>1</v>
      </c>
      <c r="C6">
        <v>0.25931999999999999</v>
      </c>
      <c r="D6">
        <v>276.7106</v>
      </c>
      <c r="E6">
        <v>71.599999999999994</v>
      </c>
      <c r="F6">
        <v>101.60299999999999</v>
      </c>
      <c r="G6">
        <v>19.350000000000001</v>
      </c>
      <c r="H6">
        <v>19.93242</v>
      </c>
      <c r="I6">
        <v>101.59699999999999</v>
      </c>
      <c r="J6">
        <v>19.95</v>
      </c>
      <c r="K6">
        <v>20</v>
      </c>
      <c r="L6">
        <v>0.34</v>
      </c>
      <c r="M6">
        <v>0.34</v>
      </c>
      <c r="N6">
        <v>0</v>
      </c>
      <c r="O6">
        <v>3</v>
      </c>
    </row>
    <row r="7" spans="1:15" x14ac:dyDescent="0.15">
      <c r="A7" s="6" t="s">
        <v>15</v>
      </c>
      <c r="B7" s="6">
        <v>1</v>
      </c>
      <c r="C7">
        <v>5.9769420000000002</v>
      </c>
      <c r="D7">
        <v>59.683399999999999</v>
      </c>
      <c r="E7">
        <v>69.819999999999993</v>
      </c>
      <c r="F7">
        <v>100.28100000000001</v>
      </c>
      <c r="G7">
        <v>19.350000000000001</v>
      </c>
      <c r="H7">
        <v>99.090059999999994</v>
      </c>
      <c r="I7">
        <v>101.116</v>
      </c>
      <c r="J7">
        <v>19.989999999999998</v>
      </c>
      <c r="K7">
        <v>100</v>
      </c>
      <c r="L7">
        <v>0.92</v>
      </c>
      <c r="M7">
        <v>0.92</v>
      </c>
      <c r="N7">
        <v>0</v>
      </c>
      <c r="O7">
        <v>172</v>
      </c>
    </row>
    <row r="8" spans="1:15" x14ac:dyDescent="0.15">
      <c r="A8" s="6" t="s">
        <v>16</v>
      </c>
      <c r="B8" s="6">
        <v>1</v>
      </c>
      <c r="C8">
        <v>4.2018610000000001</v>
      </c>
      <c r="D8">
        <v>60.020899999999997</v>
      </c>
      <c r="E8">
        <v>69.13</v>
      </c>
      <c r="F8">
        <v>100.943</v>
      </c>
      <c r="G8">
        <v>19.399999999999999</v>
      </c>
      <c r="H8">
        <v>70.055419999999998</v>
      </c>
      <c r="I8">
        <v>101.36</v>
      </c>
      <c r="J8">
        <v>20.010000000000002</v>
      </c>
      <c r="K8">
        <v>70</v>
      </c>
      <c r="L8">
        <v>-0.08</v>
      </c>
      <c r="M8">
        <v>-0.08</v>
      </c>
      <c r="N8">
        <v>0</v>
      </c>
      <c r="O8">
        <v>92</v>
      </c>
    </row>
    <row r="9" spans="1:15" x14ac:dyDescent="0.15">
      <c r="A9" s="6" t="s">
        <v>17</v>
      </c>
      <c r="B9" s="6">
        <v>1</v>
      </c>
      <c r="C9">
        <v>2.4452400000000001</v>
      </c>
      <c r="D9">
        <v>58.706400000000002</v>
      </c>
      <c r="E9">
        <v>68.540000000000006</v>
      </c>
      <c r="F9">
        <v>101.38800000000001</v>
      </c>
      <c r="G9">
        <v>19.43</v>
      </c>
      <c r="H9">
        <v>39.875349999999997</v>
      </c>
      <c r="I9">
        <v>101.524</v>
      </c>
      <c r="J9">
        <v>20.02</v>
      </c>
      <c r="K9">
        <v>40</v>
      </c>
      <c r="L9">
        <v>0.31</v>
      </c>
      <c r="M9">
        <v>0.31</v>
      </c>
      <c r="N9">
        <v>0</v>
      </c>
      <c r="O9">
        <v>37</v>
      </c>
    </row>
    <row r="10" spans="1:15" x14ac:dyDescent="0.15">
      <c r="A10" s="6" t="s">
        <v>18</v>
      </c>
      <c r="B10" s="6">
        <v>1</v>
      </c>
      <c r="C10">
        <v>1.193074</v>
      </c>
      <c r="D10">
        <v>60.269500000000001</v>
      </c>
      <c r="E10">
        <v>67.83</v>
      </c>
      <c r="F10">
        <v>101.578</v>
      </c>
      <c r="G10">
        <v>19.440000000000001</v>
      </c>
      <c r="H10">
        <v>19.973880000000001</v>
      </c>
      <c r="I10">
        <v>101.59099999999999</v>
      </c>
      <c r="J10">
        <v>20.02</v>
      </c>
      <c r="K10">
        <v>20</v>
      </c>
      <c r="L10">
        <v>0.13</v>
      </c>
      <c r="M10">
        <v>0.13</v>
      </c>
      <c r="N10">
        <v>0</v>
      </c>
      <c r="O10">
        <v>12</v>
      </c>
    </row>
    <row r="11" spans="1:15" x14ac:dyDescent="0.15">
      <c r="A11" s="6" t="s">
        <v>19</v>
      </c>
      <c r="B11" s="6">
        <v>1</v>
      </c>
      <c r="C11">
        <v>0.25928200000000001</v>
      </c>
      <c r="D11">
        <v>276.99489999999997</v>
      </c>
      <c r="E11">
        <v>65.94</v>
      </c>
      <c r="F11">
        <v>101.629</v>
      </c>
      <c r="G11">
        <v>19.46</v>
      </c>
      <c r="H11">
        <v>19.949919999999999</v>
      </c>
      <c r="I11">
        <v>101.623</v>
      </c>
      <c r="J11">
        <v>20</v>
      </c>
      <c r="K11">
        <v>20</v>
      </c>
      <c r="L11">
        <v>0.25</v>
      </c>
      <c r="M11">
        <v>0.25</v>
      </c>
      <c r="N11">
        <v>0</v>
      </c>
      <c r="O11">
        <v>4</v>
      </c>
    </row>
    <row r="12" spans="1:15" x14ac:dyDescent="0.15">
      <c r="A12" s="6" t="s">
        <v>15</v>
      </c>
      <c r="B12" s="6">
        <v>1</v>
      </c>
      <c r="C12">
        <v>5.9761790000000001</v>
      </c>
      <c r="D12">
        <v>59.665599999999998</v>
      </c>
      <c r="E12">
        <v>64.63</v>
      </c>
      <c r="F12">
        <v>100.298</v>
      </c>
      <c r="G12">
        <v>19.46</v>
      </c>
      <c r="H12">
        <v>99.047870000000003</v>
      </c>
      <c r="I12">
        <v>101.131</v>
      </c>
      <c r="J12">
        <v>20.03</v>
      </c>
      <c r="K12">
        <v>100</v>
      </c>
      <c r="L12">
        <v>0.96</v>
      </c>
      <c r="M12">
        <v>0.96</v>
      </c>
      <c r="N12">
        <v>0</v>
      </c>
      <c r="O12">
        <v>170</v>
      </c>
    </row>
    <row r="13" spans="1:15" x14ac:dyDescent="0.15">
      <c r="A13" s="6" t="s">
        <v>16</v>
      </c>
      <c r="B13" s="6">
        <v>1</v>
      </c>
      <c r="C13">
        <v>4.2015700000000002</v>
      </c>
      <c r="D13">
        <v>59.985399999999998</v>
      </c>
      <c r="E13">
        <v>64.28</v>
      </c>
      <c r="F13">
        <v>100.962</v>
      </c>
      <c r="G13">
        <v>19.52</v>
      </c>
      <c r="H13">
        <v>70.009129999999999</v>
      </c>
      <c r="I13">
        <v>101.38</v>
      </c>
      <c r="J13">
        <v>20.05</v>
      </c>
      <c r="K13">
        <v>70</v>
      </c>
      <c r="L13">
        <v>-0.01</v>
      </c>
      <c r="M13">
        <v>-0.01</v>
      </c>
      <c r="N13">
        <v>0</v>
      </c>
      <c r="O13">
        <v>92</v>
      </c>
    </row>
    <row r="14" spans="1:15" x14ac:dyDescent="0.15">
      <c r="A14" s="6" t="s">
        <v>17</v>
      </c>
      <c r="B14" s="6">
        <v>1</v>
      </c>
      <c r="C14">
        <v>2.4450500000000002</v>
      </c>
      <c r="D14">
        <v>58.795299999999997</v>
      </c>
      <c r="E14">
        <v>63.92</v>
      </c>
      <c r="F14">
        <v>101.408</v>
      </c>
      <c r="G14">
        <v>19.54</v>
      </c>
      <c r="H14">
        <v>39.93262</v>
      </c>
      <c r="I14">
        <v>101.54300000000001</v>
      </c>
      <c r="J14">
        <v>20.05</v>
      </c>
      <c r="K14">
        <v>40</v>
      </c>
      <c r="L14">
        <v>0.17</v>
      </c>
      <c r="M14">
        <v>0.17</v>
      </c>
      <c r="N14">
        <v>0</v>
      </c>
      <c r="O14">
        <v>38</v>
      </c>
    </row>
    <row r="15" spans="1:15" x14ac:dyDescent="0.15">
      <c r="A15" s="6" t="s">
        <v>18</v>
      </c>
      <c r="B15" s="6">
        <v>1</v>
      </c>
      <c r="C15">
        <v>1.1929639999999999</v>
      </c>
      <c r="D15">
        <v>60.393999999999998</v>
      </c>
      <c r="E15">
        <v>63.47</v>
      </c>
      <c r="F15">
        <v>101.596</v>
      </c>
      <c r="G15">
        <v>19.55</v>
      </c>
      <c r="H15">
        <v>20.013300000000001</v>
      </c>
      <c r="I15">
        <v>101.61</v>
      </c>
      <c r="J15">
        <v>20.05</v>
      </c>
      <c r="K15">
        <v>20</v>
      </c>
      <c r="L15">
        <v>-7.0000000000000007E-2</v>
      </c>
      <c r="M15">
        <v>-7.0000000000000007E-2</v>
      </c>
      <c r="N15">
        <v>0</v>
      </c>
      <c r="O15">
        <v>12</v>
      </c>
    </row>
    <row r="16" spans="1:15" x14ac:dyDescent="0.15">
      <c r="A16" s="6" t="s">
        <v>19</v>
      </c>
      <c r="B16" s="6">
        <v>1</v>
      </c>
      <c r="C16">
        <v>0.25923499999999999</v>
      </c>
      <c r="D16">
        <v>277.2081</v>
      </c>
      <c r="E16">
        <v>62.19</v>
      </c>
      <c r="F16">
        <v>101.646</v>
      </c>
      <c r="G16">
        <v>19.579999999999998</v>
      </c>
      <c r="H16">
        <v>19.961690000000001</v>
      </c>
      <c r="I16">
        <v>101.64</v>
      </c>
      <c r="J16">
        <v>20.04</v>
      </c>
      <c r="K16">
        <v>20</v>
      </c>
      <c r="L16">
        <v>0.19</v>
      </c>
      <c r="M16">
        <v>0.19</v>
      </c>
      <c r="N16">
        <v>0</v>
      </c>
      <c r="O16">
        <v>4</v>
      </c>
    </row>
    <row r="17" spans="1:15" x14ac:dyDescent="0.15">
      <c r="A17" s="25" t="s">
        <v>71</v>
      </c>
      <c r="B17" s="6">
        <v>1</v>
      </c>
      <c r="C17">
        <v>0.164743</v>
      </c>
      <c r="D17">
        <v>434.46319999999997</v>
      </c>
      <c r="E17">
        <v>60.8</v>
      </c>
      <c r="F17">
        <v>101.667</v>
      </c>
      <c r="G17">
        <v>19.64</v>
      </c>
      <c r="H17">
        <v>19.881889999999999</v>
      </c>
      <c r="I17">
        <v>101.649</v>
      </c>
      <c r="J17">
        <v>20.04</v>
      </c>
      <c r="K17">
        <v>20</v>
      </c>
      <c r="L17">
        <v>0.59</v>
      </c>
      <c r="M17">
        <v>0.59</v>
      </c>
      <c r="N17">
        <v>0</v>
      </c>
      <c r="O17">
        <v>2</v>
      </c>
    </row>
    <row r="18" spans="1:15" x14ac:dyDescent="0.15">
      <c r="A18" s="25" t="s">
        <v>72</v>
      </c>
      <c r="B18" s="6">
        <v>1</v>
      </c>
      <c r="C18">
        <v>8.2815E-2</v>
      </c>
      <c r="D18">
        <v>436.4171</v>
      </c>
      <c r="E18">
        <v>59.53</v>
      </c>
      <c r="F18">
        <v>101.667</v>
      </c>
      <c r="G18">
        <v>19.72</v>
      </c>
      <c r="H18">
        <v>10.039350000000001</v>
      </c>
      <c r="I18">
        <v>101.639</v>
      </c>
      <c r="J18">
        <v>20.059999999999999</v>
      </c>
      <c r="K18">
        <v>10</v>
      </c>
      <c r="L18">
        <v>-0.39</v>
      </c>
      <c r="M18">
        <v>-0.39</v>
      </c>
      <c r="N18">
        <v>0</v>
      </c>
      <c r="O18">
        <v>2</v>
      </c>
    </row>
    <row r="19" spans="1:15" x14ac:dyDescent="0.15">
      <c r="A19" s="25" t="s">
        <v>73</v>
      </c>
      <c r="B19" s="6">
        <v>1</v>
      </c>
      <c r="C19">
        <v>1.5866999999999999E-2</v>
      </c>
      <c r="D19">
        <v>2276.9920000000002</v>
      </c>
      <c r="E19">
        <v>70.48</v>
      </c>
      <c r="F19">
        <v>101.611</v>
      </c>
      <c r="G19">
        <v>19.97</v>
      </c>
      <c r="H19">
        <v>10.03613</v>
      </c>
      <c r="I19">
        <v>101.57599999999999</v>
      </c>
      <c r="J19">
        <v>20.09</v>
      </c>
      <c r="K19">
        <v>10</v>
      </c>
      <c r="L19">
        <v>-0.36</v>
      </c>
      <c r="M19">
        <v>-0.36</v>
      </c>
      <c r="N19">
        <v>0</v>
      </c>
      <c r="O19">
        <v>2</v>
      </c>
    </row>
    <row r="20" spans="1:15" x14ac:dyDescent="0.15">
      <c r="A20" s="25" t="s">
        <v>71</v>
      </c>
      <c r="B20" s="6">
        <v>1</v>
      </c>
      <c r="C20">
        <v>0.16450200000000001</v>
      </c>
      <c r="D20">
        <v>435.08479999999997</v>
      </c>
      <c r="E20">
        <v>68.88</v>
      </c>
      <c r="F20">
        <v>101.584</v>
      </c>
      <c r="G20">
        <v>20.149999999999999</v>
      </c>
      <c r="H20">
        <v>19.88119</v>
      </c>
      <c r="I20">
        <v>101.565</v>
      </c>
      <c r="J20">
        <v>20.16</v>
      </c>
      <c r="K20">
        <v>20</v>
      </c>
      <c r="L20">
        <v>0.6</v>
      </c>
      <c r="M20">
        <v>0.6</v>
      </c>
      <c r="N20">
        <v>0</v>
      </c>
      <c r="O20">
        <v>2</v>
      </c>
    </row>
    <row r="21" spans="1:15" x14ac:dyDescent="0.15">
      <c r="A21" s="25" t="s">
        <v>72</v>
      </c>
      <c r="B21" s="6">
        <v>1</v>
      </c>
      <c r="C21">
        <v>8.269E-2</v>
      </c>
      <c r="D21">
        <v>436.66559999999998</v>
      </c>
      <c r="E21">
        <v>65.540000000000006</v>
      </c>
      <c r="F21">
        <v>101.583</v>
      </c>
      <c r="G21">
        <v>20.21</v>
      </c>
      <c r="H21">
        <v>10.02999</v>
      </c>
      <c r="I21">
        <v>101.55500000000001</v>
      </c>
      <c r="J21">
        <v>20.170000000000002</v>
      </c>
      <c r="K21">
        <v>10</v>
      </c>
      <c r="L21">
        <v>-0.3</v>
      </c>
      <c r="M21">
        <v>-0.3</v>
      </c>
      <c r="N21">
        <v>0</v>
      </c>
      <c r="O21">
        <v>2</v>
      </c>
    </row>
    <row r="22" spans="1:15" x14ac:dyDescent="0.15">
      <c r="A22" s="25" t="s">
        <v>73</v>
      </c>
      <c r="B22" s="6">
        <v>1</v>
      </c>
      <c r="C22">
        <v>1.5844E-2</v>
      </c>
      <c r="D22">
        <v>2276.5120000000002</v>
      </c>
      <c r="E22">
        <v>60.97</v>
      </c>
      <c r="F22">
        <v>101.577</v>
      </c>
      <c r="G22">
        <v>20.399999999999999</v>
      </c>
      <c r="H22">
        <v>10.019399999999999</v>
      </c>
      <c r="I22">
        <v>101.542</v>
      </c>
      <c r="J22">
        <v>20.190000000000001</v>
      </c>
      <c r="K22">
        <v>10</v>
      </c>
      <c r="L22">
        <v>-0.19</v>
      </c>
      <c r="M22">
        <v>-0.19</v>
      </c>
      <c r="N22">
        <v>0</v>
      </c>
      <c r="O22">
        <v>2</v>
      </c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F21" sqref="F21"/>
    </sheetView>
  </sheetViews>
  <sheetFormatPr defaultRowHeight="14.25" x14ac:dyDescent="0.15"/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" t="s">
        <v>15</v>
      </c>
      <c r="B2" s="6">
        <v>1</v>
      </c>
      <c r="C2">
        <v>5.9599849999999996</v>
      </c>
      <c r="D2">
        <v>59.719000000000001</v>
      </c>
      <c r="E2">
        <v>69.7</v>
      </c>
      <c r="F2">
        <v>100.17400000000001</v>
      </c>
      <c r="G2">
        <v>20.6</v>
      </c>
      <c r="H2">
        <v>98.867869999999996</v>
      </c>
      <c r="I2">
        <v>101.006</v>
      </c>
      <c r="J2">
        <v>20.309999999999999</v>
      </c>
      <c r="K2">
        <v>100</v>
      </c>
      <c r="L2">
        <v>1.1499999999999999</v>
      </c>
      <c r="M2">
        <v>1.1499999999999999</v>
      </c>
      <c r="N2">
        <v>0</v>
      </c>
      <c r="O2">
        <v>170</v>
      </c>
    </row>
    <row r="3" spans="1:15" x14ac:dyDescent="0.15">
      <c r="A3" s="6" t="s">
        <v>16</v>
      </c>
      <c r="B3" s="6">
        <v>1</v>
      </c>
      <c r="C3">
        <v>4.1893549999999999</v>
      </c>
      <c r="D3">
        <v>60.091999999999999</v>
      </c>
      <c r="E3">
        <v>68.89</v>
      </c>
      <c r="F3">
        <v>100.822</v>
      </c>
      <c r="G3">
        <v>20.64</v>
      </c>
      <c r="H3">
        <v>69.929640000000006</v>
      </c>
      <c r="I3">
        <v>101.239</v>
      </c>
      <c r="J3">
        <v>20.32</v>
      </c>
      <c r="K3">
        <v>70</v>
      </c>
      <c r="L3">
        <v>0.1</v>
      </c>
      <c r="M3">
        <v>0.1</v>
      </c>
      <c r="N3">
        <v>0</v>
      </c>
      <c r="O3">
        <v>90</v>
      </c>
    </row>
    <row r="4" spans="1:15" x14ac:dyDescent="0.15">
      <c r="A4" s="6" t="s">
        <v>17</v>
      </c>
      <c r="B4" s="6">
        <v>1</v>
      </c>
      <c r="C4">
        <v>2.4380809999999999</v>
      </c>
      <c r="D4">
        <v>58.813099999999999</v>
      </c>
      <c r="E4">
        <v>68.05</v>
      </c>
      <c r="F4">
        <v>101.26900000000001</v>
      </c>
      <c r="G4">
        <v>20.65</v>
      </c>
      <c r="H4">
        <v>39.830860000000001</v>
      </c>
      <c r="I4">
        <v>101.402</v>
      </c>
      <c r="J4">
        <v>20.32</v>
      </c>
      <c r="K4">
        <v>40</v>
      </c>
      <c r="L4">
        <v>0.42</v>
      </c>
      <c r="M4">
        <v>0.42</v>
      </c>
      <c r="N4">
        <v>0</v>
      </c>
      <c r="O4">
        <v>36</v>
      </c>
    </row>
    <row r="5" spans="1:15" x14ac:dyDescent="0.15">
      <c r="A5" s="6" t="s">
        <v>18</v>
      </c>
      <c r="B5" s="6">
        <v>1</v>
      </c>
      <c r="C5">
        <v>1.189586</v>
      </c>
      <c r="D5">
        <v>60.411700000000003</v>
      </c>
      <c r="E5">
        <v>67.27</v>
      </c>
      <c r="F5">
        <v>101.455</v>
      </c>
      <c r="G5">
        <v>20.65</v>
      </c>
      <c r="H5">
        <v>19.962479999999999</v>
      </c>
      <c r="I5">
        <v>101.468</v>
      </c>
      <c r="J5">
        <v>20.309999999999999</v>
      </c>
      <c r="K5">
        <v>20</v>
      </c>
      <c r="L5">
        <v>0.19</v>
      </c>
      <c r="M5">
        <v>0.19</v>
      </c>
      <c r="N5">
        <v>0</v>
      </c>
      <c r="O5">
        <v>12</v>
      </c>
    </row>
    <row r="6" spans="1:15" x14ac:dyDescent="0.15">
      <c r="A6" s="6" t="s">
        <v>19</v>
      </c>
      <c r="B6" s="6">
        <v>1</v>
      </c>
      <c r="C6">
        <v>0.25836300000000001</v>
      </c>
      <c r="D6">
        <v>278.00729999999999</v>
      </c>
      <c r="E6">
        <v>64.650000000000006</v>
      </c>
      <c r="F6">
        <v>101.492</v>
      </c>
      <c r="G6">
        <v>20.64</v>
      </c>
      <c r="H6">
        <v>19.951920000000001</v>
      </c>
      <c r="I6">
        <v>101.486</v>
      </c>
      <c r="J6">
        <v>20.29</v>
      </c>
      <c r="K6">
        <v>20</v>
      </c>
      <c r="L6">
        <v>0.24</v>
      </c>
      <c r="M6">
        <v>0.24</v>
      </c>
      <c r="N6">
        <v>0</v>
      </c>
      <c r="O6">
        <v>2</v>
      </c>
    </row>
    <row r="7" spans="1:15" x14ac:dyDescent="0.15">
      <c r="A7" s="25" t="s">
        <v>73</v>
      </c>
      <c r="B7" s="6">
        <v>1</v>
      </c>
      <c r="C7">
        <v>1.5827000000000001E-2</v>
      </c>
      <c r="D7">
        <v>2283.4580000000001</v>
      </c>
      <c r="E7">
        <v>65.55</v>
      </c>
      <c r="F7">
        <v>101.512</v>
      </c>
      <c r="G7">
        <v>20.74</v>
      </c>
      <c r="H7">
        <v>10.0387</v>
      </c>
      <c r="I7">
        <v>101.476</v>
      </c>
      <c r="J7">
        <v>20.27</v>
      </c>
      <c r="K7">
        <v>10</v>
      </c>
      <c r="L7">
        <v>-0.39</v>
      </c>
      <c r="M7">
        <v>-0.39</v>
      </c>
      <c r="N7">
        <v>0</v>
      </c>
      <c r="O7">
        <v>1</v>
      </c>
    </row>
    <row r="8" spans="1:15" x14ac:dyDescent="0.15">
      <c r="A8" s="6" t="s">
        <v>15</v>
      </c>
      <c r="B8" s="6">
        <v>1</v>
      </c>
      <c r="C8">
        <v>5.9561570000000001</v>
      </c>
      <c r="D8">
        <v>59.772199999999998</v>
      </c>
      <c r="E8">
        <v>76.31</v>
      </c>
      <c r="F8">
        <v>100.117</v>
      </c>
      <c r="G8">
        <v>20.78</v>
      </c>
      <c r="H8">
        <v>98.892399999999995</v>
      </c>
      <c r="I8">
        <v>100.94799999999999</v>
      </c>
      <c r="J8">
        <v>20.32</v>
      </c>
      <c r="K8">
        <v>100</v>
      </c>
      <c r="L8">
        <v>1.1200000000000001</v>
      </c>
      <c r="M8">
        <v>1.1200000000000001</v>
      </c>
      <c r="N8">
        <v>0</v>
      </c>
      <c r="O8">
        <v>170</v>
      </c>
    </row>
    <row r="9" spans="1:15" x14ac:dyDescent="0.15">
      <c r="A9" s="6" t="s">
        <v>16</v>
      </c>
      <c r="B9" s="6">
        <v>1</v>
      </c>
      <c r="C9">
        <v>4.1869269999999998</v>
      </c>
      <c r="D9">
        <v>60.216200000000001</v>
      </c>
      <c r="E9">
        <v>75.790000000000006</v>
      </c>
      <c r="F9">
        <v>100.77800000000001</v>
      </c>
      <c r="G9">
        <v>20.83</v>
      </c>
      <c r="H9">
        <v>70.033569999999997</v>
      </c>
      <c r="I9">
        <v>101.194</v>
      </c>
      <c r="J9">
        <v>20.34</v>
      </c>
      <c r="K9">
        <v>70</v>
      </c>
      <c r="L9">
        <v>-0.05</v>
      </c>
      <c r="M9">
        <v>-0.05</v>
      </c>
      <c r="N9">
        <v>0</v>
      </c>
      <c r="O9">
        <v>90</v>
      </c>
    </row>
    <row r="10" spans="1:15" x14ac:dyDescent="0.15">
      <c r="A10" s="6" t="s">
        <v>17</v>
      </c>
      <c r="B10" s="6">
        <v>1</v>
      </c>
      <c r="C10">
        <v>2.436696</v>
      </c>
      <c r="D10">
        <v>58.937399999999997</v>
      </c>
      <c r="E10">
        <v>75.180000000000007</v>
      </c>
      <c r="F10">
        <v>101.226</v>
      </c>
      <c r="G10">
        <v>20.85</v>
      </c>
      <c r="H10">
        <v>39.89237</v>
      </c>
      <c r="I10">
        <v>101.36</v>
      </c>
      <c r="J10">
        <v>20.34</v>
      </c>
      <c r="K10">
        <v>40</v>
      </c>
      <c r="L10">
        <v>0.27</v>
      </c>
      <c r="M10">
        <v>0.27</v>
      </c>
      <c r="N10">
        <v>0</v>
      </c>
      <c r="O10">
        <v>36</v>
      </c>
    </row>
    <row r="11" spans="1:15" x14ac:dyDescent="0.15">
      <c r="A11" s="6" t="s">
        <v>18</v>
      </c>
      <c r="B11" s="6">
        <v>1</v>
      </c>
      <c r="C11">
        <v>1.1889460000000001</v>
      </c>
      <c r="D11">
        <v>60.4649</v>
      </c>
      <c r="E11">
        <v>74.41</v>
      </c>
      <c r="F11">
        <v>101.413</v>
      </c>
      <c r="G11">
        <v>20.85</v>
      </c>
      <c r="H11">
        <v>19.96931</v>
      </c>
      <c r="I11">
        <v>101.426</v>
      </c>
      <c r="J11">
        <v>20.34</v>
      </c>
      <c r="K11">
        <v>20</v>
      </c>
      <c r="L11">
        <v>0.15</v>
      </c>
      <c r="M11">
        <v>0.15</v>
      </c>
      <c r="N11">
        <v>0</v>
      </c>
      <c r="O11">
        <v>12</v>
      </c>
    </row>
    <row r="12" spans="1:15" x14ac:dyDescent="0.15">
      <c r="A12" s="6" t="s">
        <v>19</v>
      </c>
      <c r="B12" s="6">
        <v>1</v>
      </c>
      <c r="C12">
        <v>0.25821899999999998</v>
      </c>
      <c r="D12">
        <v>278.22050000000002</v>
      </c>
      <c r="E12">
        <v>71.040000000000006</v>
      </c>
      <c r="F12">
        <v>101.45</v>
      </c>
      <c r="G12">
        <v>20.84</v>
      </c>
      <c r="H12">
        <v>19.956060000000001</v>
      </c>
      <c r="I12">
        <v>101.444</v>
      </c>
      <c r="J12">
        <v>20.32</v>
      </c>
      <c r="K12">
        <v>20</v>
      </c>
      <c r="L12">
        <v>0.22</v>
      </c>
      <c r="M12">
        <v>0.22</v>
      </c>
      <c r="N12">
        <v>0</v>
      </c>
      <c r="O12">
        <v>2</v>
      </c>
    </row>
    <row r="13" spans="1:15" x14ac:dyDescent="0.15">
      <c r="A13" s="25" t="s">
        <v>73</v>
      </c>
      <c r="B13" s="6">
        <v>1</v>
      </c>
      <c r="C13">
        <v>1.5810999999999999E-2</v>
      </c>
      <c r="D13">
        <v>2275.482</v>
      </c>
      <c r="E13">
        <v>62.8</v>
      </c>
      <c r="F13">
        <v>101.45699999999999</v>
      </c>
      <c r="G13">
        <v>20.93</v>
      </c>
      <c r="H13">
        <v>9.993824</v>
      </c>
      <c r="I13">
        <v>101.42100000000001</v>
      </c>
      <c r="J13">
        <v>20.3</v>
      </c>
      <c r="K13">
        <v>10</v>
      </c>
      <c r="L13">
        <v>0.06</v>
      </c>
      <c r="M13">
        <v>0.06</v>
      </c>
      <c r="N13">
        <v>0</v>
      </c>
      <c r="O13">
        <v>2</v>
      </c>
    </row>
  </sheetData>
  <phoneticPr fontId="2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26"/>
  <sheetViews>
    <sheetView tabSelected="1" topLeftCell="A319" zoomScale="110" zoomScaleNormal="110" workbookViewId="0">
      <selection activeCell="A193" sqref="A193:M327"/>
    </sheetView>
  </sheetViews>
  <sheetFormatPr defaultRowHeight="14.25" x14ac:dyDescent="0.15"/>
  <cols>
    <col min="1" max="1" width="5.375" customWidth="1"/>
    <col min="2" max="2" width="11.25" customWidth="1"/>
    <col min="3" max="3" width="2.625" customWidth="1"/>
    <col min="4" max="4" width="4.375" customWidth="1"/>
    <col min="5" max="5" width="4.625" customWidth="1"/>
    <col min="6" max="6" width="5.625" customWidth="1"/>
    <col min="7" max="7" width="4.625" customWidth="1"/>
    <col min="8" max="8" width="5.625" customWidth="1"/>
    <col min="9" max="9" width="9.625" customWidth="1"/>
    <col min="11" max="11" width="11" customWidth="1"/>
    <col min="12" max="12" width="12.375" customWidth="1"/>
    <col min="13" max="13" width="14.125" customWidth="1"/>
  </cols>
  <sheetData>
    <row r="1" spans="1:31" x14ac:dyDescent="0.15">
      <c r="A1" s="1"/>
      <c r="B1" s="103" t="s">
        <v>66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0.25" x14ac:dyDescent="0.15">
      <c r="A2" s="1"/>
      <c r="B2" s="104" t="s">
        <v>54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0.25" x14ac:dyDescent="0.15">
      <c r="A3" s="1"/>
      <c r="B3" s="105" t="s">
        <v>67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x14ac:dyDescent="0.25">
      <c r="A4" s="1"/>
      <c r="B4" s="16"/>
      <c r="C4" s="16"/>
      <c r="D4" s="16"/>
      <c r="E4" s="16"/>
      <c r="F4" s="16"/>
      <c r="G4" s="16"/>
      <c r="H4" s="16"/>
      <c r="I4" s="107" t="s">
        <v>22</v>
      </c>
      <c r="J4" s="107"/>
      <c r="K4" s="108" t="s">
        <v>197</v>
      </c>
      <c r="L4" s="108"/>
      <c r="M4" s="108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8" customHeight="1" x14ac:dyDescent="0.2">
      <c r="A5" s="1"/>
      <c r="B5" s="12" t="s">
        <v>23</v>
      </c>
      <c r="C5" s="109" t="s">
        <v>95</v>
      </c>
      <c r="D5" s="110"/>
      <c r="E5" s="110"/>
      <c r="F5" s="110"/>
      <c r="G5" s="110"/>
      <c r="H5" s="110"/>
      <c r="I5" s="107" t="s">
        <v>24</v>
      </c>
      <c r="J5" s="107"/>
      <c r="K5" s="111" t="s">
        <v>96</v>
      </c>
      <c r="L5" s="108"/>
      <c r="M5" s="10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8" customHeight="1" x14ac:dyDescent="0.2">
      <c r="A6" s="1"/>
      <c r="B6" s="12" t="s">
        <v>25</v>
      </c>
      <c r="C6" s="109" t="s">
        <v>95</v>
      </c>
      <c r="D6" s="110"/>
      <c r="E6" s="110"/>
      <c r="F6" s="110"/>
      <c r="G6" s="110"/>
      <c r="H6" s="110"/>
      <c r="I6" s="107" t="s">
        <v>26</v>
      </c>
      <c r="J6" s="107"/>
      <c r="K6" s="170" t="s">
        <v>194</v>
      </c>
      <c r="L6" s="170"/>
      <c r="M6" s="17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8" customHeight="1" x14ac:dyDescent="0.2">
      <c r="A7" s="1"/>
      <c r="B7" s="13" t="s">
        <v>35</v>
      </c>
      <c r="C7" s="172" t="s">
        <v>195</v>
      </c>
      <c r="D7" s="172"/>
      <c r="E7" s="172"/>
      <c r="F7" s="172"/>
      <c r="G7" s="113" t="s">
        <v>68</v>
      </c>
      <c r="H7" s="114"/>
      <c r="I7" s="10" t="s">
        <v>36</v>
      </c>
      <c r="J7" s="14" t="s">
        <v>39</v>
      </c>
      <c r="K7" s="15" t="s">
        <v>37</v>
      </c>
      <c r="L7" s="9" t="s">
        <v>38</v>
      </c>
      <c r="M7" s="15" t="s">
        <v>198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8" customHeight="1" x14ac:dyDescent="0.2">
      <c r="A8" s="1"/>
      <c r="B8" s="18" t="s">
        <v>40</v>
      </c>
      <c r="C8" s="115" t="s">
        <v>41</v>
      </c>
      <c r="D8" s="115"/>
      <c r="E8" s="115"/>
      <c r="F8" s="115"/>
      <c r="G8" s="116" t="s">
        <v>42</v>
      </c>
      <c r="H8" s="117"/>
      <c r="I8" s="108" t="s">
        <v>196</v>
      </c>
      <c r="J8" s="108"/>
      <c r="K8" s="14" t="s">
        <v>43</v>
      </c>
      <c r="L8" s="108" t="str">
        <f>IF(降流量!C2&gt;5,ROUND(MAX(降流量!O2,降流量!O7,降流量!O12)*0.75,0),MAX(降流量!O2,降流量!O7,降流量!O12))&amp;"Pa"</f>
        <v>114Pa</v>
      </c>
      <c r="M8" s="10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8" customHeight="1" x14ac:dyDescent="0.2">
      <c r="A9" s="1"/>
      <c r="B9" s="18" t="s">
        <v>44</v>
      </c>
      <c r="C9" s="108" t="s">
        <v>45</v>
      </c>
      <c r="D9" s="108"/>
      <c r="E9" s="108"/>
      <c r="F9" s="108"/>
      <c r="G9" s="108"/>
      <c r="H9" s="108"/>
      <c r="I9" s="18" t="s">
        <v>46</v>
      </c>
      <c r="J9" s="108" t="s">
        <v>189</v>
      </c>
      <c r="K9" s="108"/>
      <c r="L9" s="9"/>
      <c r="M9" s="19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8" customHeight="1" x14ac:dyDescent="0.2">
      <c r="A10" s="1"/>
      <c r="B10" s="12" t="s">
        <v>64</v>
      </c>
      <c r="C10" s="171" t="s">
        <v>65</v>
      </c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8" customHeight="1" x14ac:dyDescent="0.2">
      <c r="A11" s="1"/>
      <c r="B11" s="11" t="s">
        <v>47</v>
      </c>
      <c r="C11" s="11" t="s">
        <v>52</v>
      </c>
      <c r="D11" s="11"/>
      <c r="E11" s="11"/>
      <c r="F11" s="11"/>
      <c r="G11" s="24" t="s">
        <v>69</v>
      </c>
      <c r="H11" s="11"/>
      <c r="I11" s="11" t="s">
        <v>53</v>
      </c>
      <c r="K11" s="117" t="s">
        <v>79</v>
      </c>
      <c r="L11" s="117"/>
      <c r="M11" s="27">
        <f>(0.4*J17+0.7*J23+0.4*J29+0.2*J35+0.1*J41+10*I12*J47/E12+5*I12*J49/E12+I12*J51/E12)/(0.4+0.7+0.4+0.2+0.1+10*I12/E12+5*I12/E12+I12/E12)/100</f>
        <v>2.1703585271749403E-3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8" customHeight="1" x14ac:dyDescent="0.15">
      <c r="A12" s="1"/>
      <c r="B12" s="11" t="s">
        <v>48</v>
      </c>
      <c r="C12" s="135" t="s">
        <v>76</v>
      </c>
      <c r="D12" s="135"/>
      <c r="E12" s="22">
        <v>6</v>
      </c>
      <c r="F12" s="26" t="s">
        <v>77</v>
      </c>
      <c r="G12" s="135" t="s">
        <v>93</v>
      </c>
      <c r="H12" s="135"/>
      <c r="I12" s="22">
        <v>1.6E-2</v>
      </c>
      <c r="J12" s="26" t="s">
        <v>77</v>
      </c>
      <c r="K12" s="22" t="s">
        <v>94</v>
      </c>
      <c r="L12" s="22">
        <v>0.25</v>
      </c>
      <c r="M12" s="26" t="s">
        <v>77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30" customHeight="1" x14ac:dyDescent="0.15">
      <c r="A13" s="1"/>
      <c r="B13" s="124" t="s">
        <v>27</v>
      </c>
      <c r="C13" s="128" t="s">
        <v>28</v>
      </c>
      <c r="D13" s="128"/>
      <c r="E13" s="138" t="s">
        <v>29</v>
      </c>
      <c r="F13" s="139"/>
      <c r="G13" s="138" t="s">
        <v>30</v>
      </c>
      <c r="H13" s="139"/>
      <c r="I13" s="124" t="s">
        <v>31</v>
      </c>
      <c r="J13" s="124" t="s">
        <v>32</v>
      </c>
      <c r="K13" s="124" t="s">
        <v>80</v>
      </c>
      <c r="L13" s="128" t="s">
        <v>33</v>
      </c>
      <c r="M13" s="128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4.25" customHeight="1" x14ac:dyDescent="0.15">
      <c r="A14" s="1"/>
      <c r="B14" s="122"/>
      <c r="C14" s="128"/>
      <c r="D14" s="128"/>
      <c r="E14" s="140"/>
      <c r="F14" s="141"/>
      <c r="G14" s="140"/>
      <c r="H14" s="141"/>
      <c r="I14" s="122"/>
      <c r="J14" s="122"/>
      <c r="K14" s="122"/>
      <c r="L14" s="124" t="s">
        <v>34</v>
      </c>
      <c r="M14" s="173" t="s">
        <v>85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" customHeight="1" x14ac:dyDescent="0.15">
      <c r="A15" s="1"/>
      <c r="B15" s="122"/>
      <c r="C15" s="136"/>
      <c r="D15" s="137"/>
      <c r="E15" s="140"/>
      <c r="F15" s="141"/>
      <c r="G15" s="140"/>
      <c r="H15" s="141"/>
      <c r="I15" s="122"/>
      <c r="J15" s="122"/>
      <c r="K15" s="122"/>
      <c r="L15" s="122"/>
      <c r="M15" s="12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4.1" customHeight="1" x14ac:dyDescent="0.15">
      <c r="A16" s="1"/>
      <c r="B16" s="123"/>
      <c r="C16" s="136"/>
      <c r="D16" s="137"/>
      <c r="E16" s="142" t="s">
        <v>56</v>
      </c>
      <c r="F16" s="135"/>
      <c r="G16" s="142" t="s">
        <v>56</v>
      </c>
      <c r="H16" s="135"/>
      <c r="I16" s="3" t="s">
        <v>55</v>
      </c>
      <c r="J16" s="4" t="s">
        <v>55</v>
      </c>
      <c r="K16" s="123"/>
      <c r="L16" s="123"/>
      <c r="M16" s="12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4.1" customHeight="1" x14ac:dyDescent="0.15">
      <c r="A17" s="1"/>
      <c r="B17" s="155" t="s">
        <v>58</v>
      </c>
      <c r="C17" s="2">
        <v>1</v>
      </c>
      <c r="D17" s="152" t="s">
        <v>81</v>
      </c>
      <c r="E17" s="149">
        <f>降流量!K2</f>
        <v>100</v>
      </c>
      <c r="F17" s="149"/>
      <c r="G17" s="150">
        <f>降流量!H2</f>
        <v>99.014060000000001</v>
      </c>
      <c r="H17" s="150"/>
      <c r="I17" s="5">
        <f>(E17-G17)/G17*100</f>
        <v>0.99575757220742123</v>
      </c>
      <c r="J17" s="163">
        <f>AVERAGE(I17:I22)</f>
        <v>0.97582195955981754</v>
      </c>
      <c r="K17" s="167">
        <f>STDEV(I17:I22)/100</f>
        <v>7.4574428121804777E-4</v>
      </c>
      <c r="L17" s="155" t="str">
        <f>IF(OR(AND(J17&gt;=0,J23&gt;=0,J29&gt;=0,J35&gt;=0,J41&gt;=0),AND(J17&lt;=0,J23&lt;=0,J29&lt;=0,J35&lt;=0,J41&lt;=0)),FIXED(ABS(J17),2)&amp;"%","/(异号)")</f>
        <v>/(异号)</v>
      </c>
      <c r="M17" s="167">
        <f>(MAX(J17:J41)-MIN(J17:J41))/100</f>
        <v>1.0671543764251326E-2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4.1" customHeight="1" x14ac:dyDescent="0.15">
      <c r="A18" s="1"/>
      <c r="B18" s="119"/>
      <c r="C18" s="2">
        <v>2</v>
      </c>
      <c r="D18" s="153"/>
      <c r="E18" s="134">
        <f>降流量!K7</f>
        <v>100</v>
      </c>
      <c r="F18" s="134"/>
      <c r="G18" s="133">
        <f>降流量!H7</f>
        <v>99.154269999999997</v>
      </c>
      <c r="H18" s="133"/>
      <c r="I18" s="5">
        <f t="shared" ref="I18:I50" si="0">(E18-G18)/G18*100</f>
        <v>0.8529435999075009</v>
      </c>
      <c r="J18" s="119"/>
      <c r="K18" s="168"/>
      <c r="L18" s="119"/>
      <c r="M18" s="16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4.1" customHeight="1" x14ac:dyDescent="0.15">
      <c r="A19" s="1"/>
      <c r="B19" s="119"/>
      <c r="C19" s="2">
        <v>3</v>
      </c>
      <c r="D19" s="154"/>
      <c r="E19" s="134">
        <f>降流量!K12</f>
        <v>100</v>
      </c>
      <c r="F19" s="134"/>
      <c r="G19" s="133">
        <f>降流量!H12</f>
        <v>99.044210000000007</v>
      </c>
      <c r="H19" s="133"/>
      <c r="I19" s="5">
        <f t="shared" si="0"/>
        <v>0.96501350255607377</v>
      </c>
      <c r="J19" s="119"/>
      <c r="K19" s="168"/>
      <c r="L19" s="119"/>
      <c r="M19" s="168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4.1" customHeight="1" x14ac:dyDescent="0.15">
      <c r="A20" s="1"/>
      <c r="B20" s="119"/>
      <c r="C20" s="2">
        <v>4</v>
      </c>
      <c r="D20" s="152" t="s">
        <v>82</v>
      </c>
      <c r="E20" s="134">
        <f>升流量!K9</f>
        <v>100</v>
      </c>
      <c r="F20" s="134"/>
      <c r="G20" s="133">
        <f>升流量!H9</f>
        <v>98.97251</v>
      </c>
      <c r="H20" s="133"/>
      <c r="I20" s="5">
        <f t="shared" si="0"/>
        <v>1.038156958937386</v>
      </c>
      <c r="J20" s="119"/>
      <c r="K20" s="168"/>
      <c r="L20" s="119"/>
      <c r="M20" s="16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4.1" customHeight="1" x14ac:dyDescent="0.15">
      <c r="A21" s="1"/>
      <c r="B21" s="119"/>
      <c r="C21" s="2">
        <v>5</v>
      </c>
      <c r="D21" s="153"/>
      <c r="E21" s="134">
        <f>升流量!K14</f>
        <v>100</v>
      </c>
      <c r="F21" s="134"/>
      <c r="G21" s="133">
        <f>升流量!H14</f>
        <v>99.066370000000006</v>
      </c>
      <c r="H21" s="133"/>
      <c r="I21" s="5">
        <f t="shared" si="0"/>
        <v>0.94242879798663637</v>
      </c>
      <c r="J21" s="119"/>
      <c r="K21" s="168"/>
      <c r="L21" s="119"/>
      <c r="M21" s="168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4.1" customHeight="1" x14ac:dyDescent="0.15">
      <c r="A22" s="1"/>
      <c r="B22" s="120"/>
      <c r="C22" s="2">
        <v>6</v>
      </c>
      <c r="D22" s="154"/>
      <c r="E22" s="134">
        <f>升流量!K19</f>
        <v>100</v>
      </c>
      <c r="F22" s="134"/>
      <c r="G22" s="133">
        <f>升流量!H19</f>
        <v>98.950500000000005</v>
      </c>
      <c r="H22" s="133"/>
      <c r="I22" s="5">
        <f t="shared" si="0"/>
        <v>1.0606313257638869</v>
      </c>
      <c r="J22" s="120"/>
      <c r="K22" s="169"/>
      <c r="L22" s="120"/>
      <c r="M22" s="168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4.1" customHeight="1" x14ac:dyDescent="0.15">
      <c r="A23" s="1"/>
      <c r="B23" s="120" t="s">
        <v>59</v>
      </c>
      <c r="C23" s="2">
        <v>1</v>
      </c>
      <c r="D23" s="152" t="s">
        <v>81</v>
      </c>
      <c r="E23" s="134">
        <f>降流量!K3</f>
        <v>70</v>
      </c>
      <c r="F23" s="134"/>
      <c r="G23" s="133">
        <f>降流量!H3</f>
        <v>70.077160000000006</v>
      </c>
      <c r="H23" s="133"/>
      <c r="I23" s="5">
        <f t="shared" si="0"/>
        <v>-0.11010720183296002</v>
      </c>
      <c r="J23" s="163">
        <f>AVERAGE(I23:I28)</f>
        <v>-9.1332416865315014E-2</v>
      </c>
      <c r="K23" s="167">
        <f>STDEV(I23:I28)/100</f>
        <v>4.5679412908635907E-4</v>
      </c>
      <c r="L23" s="155" t="str">
        <f>IF(OR(AND(J17&gt;=0,J23&gt;=0,J29&gt;=0,J35&gt;=0,J41&gt;=0),AND(J17&lt;=0,J23&lt;=0,J29&lt;=0,J35&lt;=0,J41&lt;=0)),FIXED(ABS(J23),2)&amp;"%","/(异号)")</f>
        <v>/(异号)</v>
      </c>
      <c r="M23" s="168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4.1" customHeight="1" x14ac:dyDescent="0.15">
      <c r="A24" s="1"/>
      <c r="B24" s="128"/>
      <c r="C24" s="2">
        <v>2</v>
      </c>
      <c r="D24" s="153"/>
      <c r="E24" s="134">
        <f>降流量!K8</f>
        <v>70</v>
      </c>
      <c r="F24" s="134"/>
      <c r="G24" s="133">
        <f>降流量!H8</f>
        <v>70.081530000000001</v>
      </c>
      <c r="H24" s="133"/>
      <c r="I24" s="5">
        <f t="shared" si="0"/>
        <v>-0.11633593045129119</v>
      </c>
      <c r="J24" s="119"/>
      <c r="K24" s="168"/>
      <c r="L24" s="119"/>
      <c r="M24" s="16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4.1" customHeight="1" x14ac:dyDescent="0.15">
      <c r="A25" s="1"/>
      <c r="B25" s="128"/>
      <c r="C25" s="2">
        <v>3</v>
      </c>
      <c r="D25" s="154"/>
      <c r="E25" s="134">
        <f>降流量!K13</f>
        <v>70</v>
      </c>
      <c r="F25" s="134"/>
      <c r="G25" s="133">
        <f>降流量!H13</f>
        <v>69.999769999999998</v>
      </c>
      <c r="H25" s="133"/>
      <c r="I25" s="5">
        <f t="shared" si="0"/>
        <v>3.2857250816959951E-4</v>
      </c>
      <c r="J25" s="119"/>
      <c r="K25" s="168"/>
      <c r="L25" s="119"/>
      <c r="M25" s="16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4.1" customHeight="1" x14ac:dyDescent="0.15">
      <c r="A26" s="1"/>
      <c r="B26" s="128"/>
      <c r="C26" s="2">
        <v>4</v>
      </c>
      <c r="D26" s="152" t="s">
        <v>82</v>
      </c>
      <c r="E26" s="134">
        <f>升流量!K8</f>
        <v>70</v>
      </c>
      <c r="F26" s="134"/>
      <c r="G26" s="133">
        <f>升流量!H8</f>
        <v>70.070440000000005</v>
      </c>
      <c r="H26" s="133"/>
      <c r="I26" s="5">
        <f t="shared" si="0"/>
        <v>-0.10052741212985811</v>
      </c>
      <c r="J26" s="119"/>
      <c r="K26" s="168"/>
      <c r="L26" s="119"/>
      <c r="M26" s="168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4.1" customHeight="1" x14ac:dyDescent="0.15">
      <c r="A27" s="1"/>
      <c r="B27" s="128"/>
      <c r="C27" s="2">
        <v>5</v>
      </c>
      <c r="D27" s="153"/>
      <c r="E27" s="134">
        <f>升流量!K13</f>
        <v>70</v>
      </c>
      <c r="F27" s="134"/>
      <c r="G27" s="133">
        <f>升流量!H13</f>
        <v>70.08493</v>
      </c>
      <c r="H27" s="133"/>
      <c r="I27" s="5">
        <f t="shared" si="0"/>
        <v>-0.121181543592895</v>
      </c>
      <c r="J27" s="119"/>
      <c r="K27" s="168"/>
      <c r="L27" s="119"/>
      <c r="M27" s="168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4.1" customHeight="1" x14ac:dyDescent="0.15">
      <c r="A28" s="1"/>
      <c r="B28" s="128"/>
      <c r="C28" s="2">
        <v>6</v>
      </c>
      <c r="D28" s="154"/>
      <c r="E28" s="134">
        <f>升流量!K18</f>
        <v>70</v>
      </c>
      <c r="F28" s="134"/>
      <c r="G28" s="133">
        <f>升流量!H18</f>
        <v>70.070189999999997</v>
      </c>
      <c r="H28" s="133"/>
      <c r="I28" s="5">
        <f t="shared" si="0"/>
        <v>-0.10017098569305527</v>
      </c>
      <c r="J28" s="120"/>
      <c r="K28" s="169"/>
      <c r="L28" s="120"/>
      <c r="M28" s="16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4.1" customHeight="1" x14ac:dyDescent="0.15">
      <c r="A29" s="1"/>
      <c r="B29" s="120" t="s">
        <v>60</v>
      </c>
      <c r="C29" s="2">
        <v>1</v>
      </c>
      <c r="D29" s="152" t="s">
        <v>81</v>
      </c>
      <c r="E29" s="134">
        <f>降流量!K4</f>
        <v>40</v>
      </c>
      <c r="F29" s="134"/>
      <c r="G29" s="133">
        <f>降流量!H4</f>
        <v>39.97551</v>
      </c>
      <c r="H29" s="133"/>
      <c r="I29" s="5">
        <f t="shared" si="0"/>
        <v>6.1262507970505246E-2</v>
      </c>
      <c r="J29" s="163">
        <f>AVERAGE(I29:I34)</f>
        <v>0.14085121790354613</v>
      </c>
      <c r="K29" s="167">
        <f>STDEV(I29:I34)/100</f>
        <v>5.8207615328842313E-4</v>
      </c>
      <c r="L29" s="155" t="str">
        <f>IF(OR(AND(J17&gt;=0,J23&gt;=0,J29&gt;=0,J35&gt;=0,J41&gt;=0),AND(J17&lt;=0,J23&lt;=0,J29&lt;=0,J35&lt;=0,J41&lt;=0)),FIXED(ABS(J29),2)&amp;"%","/(异号)")</f>
        <v>/(异号)</v>
      </c>
      <c r="M29" s="168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4.1" customHeight="1" x14ac:dyDescent="0.15">
      <c r="A30" s="1"/>
      <c r="B30" s="128"/>
      <c r="C30" s="2">
        <v>2</v>
      </c>
      <c r="D30" s="153"/>
      <c r="E30" s="134">
        <f>降流量!K9</f>
        <v>40</v>
      </c>
      <c r="F30" s="134"/>
      <c r="G30" s="133">
        <f>降流量!H9</f>
        <v>39.903129999999997</v>
      </c>
      <c r="H30" s="133"/>
      <c r="I30" s="5">
        <f t="shared" si="0"/>
        <v>0.24276291107991449</v>
      </c>
      <c r="J30" s="119"/>
      <c r="K30" s="168"/>
      <c r="L30" s="119"/>
      <c r="M30" s="16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4.1" customHeight="1" x14ac:dyDescent="0.15">
      <c r="A31" s="1"/>
      <c r="B31" s="128"/>
      <c r="C31" s="2">
        <v>3</v>
      </c>
      <c r="D31" s="154"/>
      <c r="E31" s="134">
        <f>降流量!K14</f>
        <v>40</v>
      </c>
      <c r="F31" s="134"/>
      <c r="G31" s="133">
        <f>降流量!H14</f>
        <v>39.947279999999999</v>
      </c>
      <c r="H31" s="133"/>
      <c r="I31" s="5">
        <f t="shared" si="0"/>
        <v>0.13197394165510334</v>
      </c>
      <c r="J31" s="119"/>
      <c r="K31" s="168"/>
      <c r="L31" s="119"/>
      <c r="M31" s="168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4.1" customHeight="1" x14ac:dyDescent="0.15">
      <c r="A32" s="1"/>
      <c r="B32" s="128"/>
      <c r="C32" s="2">
        <v>4</v>
      </c>
      <c r="D32" s="152" t="s">
        <v>82</v>
      </c>
      <c r="E32" s="134">
        <f>升流量!K7</f>
        <v>40</v>
      </c>
      <c r="F32" s="134"/>
      <c r="G32" s="133">
        <f>升流量!H7</f>
        <v>39.945309999999999</v>
      </c>
      <c r="H32" s="133"/>
      <c r="I32" s="5">
        <f t="shared" si="0"/>
        <v>0.13691219319614942</v>
      </c>
      <c r="J32" s="119"/>
      <c r="K32" s="168"/>
      <c r="L32" s="119"/>
      <c r="M32" s="168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4.1" customHeight="1" x14ac:dyDescent="0.15">
      <c r="A33" s="1"/>
      <c r="B33" s="128"/>
      <c r="C33" s="2">
        <v>5</v>
      </c>
      <c r="D33" s="153"/>
      <c r="E33" s="134">
        <f>升流量!K12</f>
        <v>40</v>
      </c>
      <c r="F33" s="134"/>
      <c r="G33" s="133">
        <f>升流量!H12</f>
        <v>39.948169999999998</v>
      </c>
      <c r="H33" s="133"/>
      <c r="I33" s="5">
        <f t="shared" si="0"/>
        <v>0.12974311464080204</v>
      </c>
      <c r="J33" s="119"/>
      <c r="K33" s="168"/>
      <c r="L33" s="119"/>
      <c r="M33" s="168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4.1" customHeight="1" x14ac:dyDescent="0.15">
      <c r="A34" s="1"/>
      <c r="B34" s="128"/>
      <c r="C34" s="2">
        <v>6</v>
      </c>
      <c r="D34" s="154"/>
      <c r="E34" s="134">
        <f>升流量!K17</f>
        <v>40</v>
      </c>
      <c r="F34" s="134"/>
      <c r="G34" s="133">
        <f>升流量!H17</f>
        <v>39.943100000000001</v>
      </c>
      <c r="H34" s="133"/>
      <c r="I34" s="5">
        <f t="shared" si="0"/>
        <v>0.14245263887880219</v>
      </c>
      <c r="J34" s="120"/>
      <c r="K34" s="169"/>
      <c r="L34" s="120"/>
      <c r="M34" s="168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4.1" customHeight="1" x14ac:dyDescent="0.15">
      <c r="A35" s="1"/>
      <c r="B35" s="120" t="s">
        <v>61</v>
      </c>
      <c r="C35" s="2">
        <v>1</v>
      </c>
      <c r="D35" s="152" t="s">
        <v>81</v>
      </c>
      <c r="E35" s="134">
        <f>降流量!K5</f>
        <v>20</v>
      </c>
      <c r="F35" s="134"/>
      <c r="G35" s="133">
        <f>降流量!H5</f>
        <v>19.96048</v>
      </c>
      <c r="H35" s="133"/>
      <c r="I35" s="5">
        <f t="shared" si="0"/>
        <v>0.19799123067180527</v>
      </c>
      <c r="J35" s="163">
        <f>AVERAGE(I35:I40)</f>
        <v>3.58022088155526E-2</v>
      </c>
      <c r="K35" s="167">
        <f>STDEV(I35:I40)/100</f>
        <v>1.2545882371955445E-3</v>
      </c>
      <c r="L35" s="155" t="str">
        <f>IF(OR(AND(J17&gt;=0,J23&gt;=0,J29&gt;=0,J35&gt;=0,J41&gt;=0),AND(J17&lt;=0,J23&lt;=0,J29&lt;=0,J35&lt;=0,J41&lt;=0)),FIXED(ABS(J35),2)&amp;"%","/(异号)")</f>
        <v>/(异号)</v>
      </c>
      <c r="M35" s="168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4.1" customHeight="1" x14ac:dyDescent="0.15">
      <c r="A36" s="1"/>
      <c r="B36" s="128"/>
      <c r="C36" s="2">
        <v>2</v>
      </c>
      <c r="D36" s="153"/>
      <c r="E36" s="134">
        <f>降流量!K10</f>
        <v>20</v>
      </c>
      <c r="F36" s="134"/>
      <c r="G36" s="133">
        <f>降流量!H10</f>
        <v>20.024719999999999</v>
      </c>
      <c r="H36" s="133"/>
      <c r="I36" s="5">
        <f t="shared" si="0"/>
        <v>-0.12344741899012082</v>
      </c>
      <c r="J36" s="119"/>
      <c r="K36" s="168"/>
      <c r="L36" s="119"/>
      <c r="M36" s="168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4.1" customHeight="1" x14ac:dyDescent="0.15">
      <c r="A37" s="1"/>
      <c r="B37" s="128"/>
      <c r="C37" s="2">
        <v>3</v>
      </c>
      <c r="D37" s="154"/>
      <c r="E37" s="134">
        <f>降流量!K15</f>
        <v>20</v>
      </c>
      <c r="F37" s="134"/>
      <c r="G37" s="133">
        <f>降流量!H15</f>
        <v>20.02111</v>
      </c>
      <c r="H37" s="133"/>
      <c r="I37" s="5">
        <f t="shared" si="0"/>
        <v>-0.1054387094421847</v>
      </c>
      <c r="J37" s="119"/>
      <c r="K37" s="168"/>
      <c r="L37" s="119"/>
      <c r="M37" s="168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4.1" customHeight="1" x14ac:dyDescent="0.15">
      <c r="A38" s="1"/>
      <c r="B38" s="128"/>
      <c r="C38" s="2">
        <v>4</v>
      </c>
      <c r="D38" s="152" t="s">
        <v>82</v>
      </c>
      <c r="E38" s="134">
        <f>升流量!K6</f>
        <v>20</v>
      </c>
      <c r="F38" s="134"/>
      <c r="G38" s="133">
        <f>升流量!H6</f>
        <v>19.983319999999999</v>
      </c>
      <c r="H38" s="133"/>
      <c r="I38" s="5">
        <f t="shared" si="0"/>
        <v>8.3469613657795191E-2</v>
      </c>
      <c r="J38" s="119"/>
      <c r="K38" s="168"/>
      <c r="L38" s="119"/>
      <c r="M38" s="168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4.1" customHeight="1" x14ac:dyDescent="0.15">
      <c r="A39" s="1"/>
      <c r="B39" s="128"/>
      <c r="C39" s="2">
        <v>5</v>
      </c>
      <c r="D39" s="153"/>
      <c r="E39" s="134">
        <f>升流量!K11</f>
        <v>20</v>
      </c>
      <c r="F39" s="134"/>
      <c r="G39" s="133">
        <f>升流量!H11</f>
        <v>19.980039999999999</v>
      </c>
      <c r="H39" s="133"/>
      <c r="I39" s="5">
        <f t="shared" si="0"/>
        <v>9.989969990050615E-2</v>
      </c>
      <c r="J39" s="119"/>
      <c r="K39" s="168"/>
      <c r="L39" s="119"/>
      <c r="M39" s="16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4.1" customHeight="1" x14ac:dyDescent="0.15">
      <c r="A40" s="1"/>
      <c r="B40" s="128"/>
      <c r="C40" s="2">
        <v>6</v>
      </c>
      <c r="D40" s="154"/>
      <c r="E40" s="134">
        <f>升流量!K16</f>
        <v>20</v>
      </c>
      <c r="F40" s="134"/>
      <c r="G40" s="133">
        <f>升流量!H16</f>
        <v>19.987539999999999</v>
      </c>
      <c r="H40" s="133"/>
      <c r="I40" s="5">
        <f t="shared" si="0"/>
        <v>6.2338837095514528E-2</v>
      </c>
      <c r="J40" s="120"/>
      <c r="K40" s="169"/>
      <c r="L40" s="120"/>
      <c r="M40" s="16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4.1" customHeight="1" x14ac:dyDescent="0.15">
      <c r="A41" s="1"/>
      <c r="B41" s="120" t="s">
        <v>62</v>
      </c>
      <c r="C41" s="2">
        <v>1</v>
      </c>
      <c r="D41" s="152" t="s">
        <v>81</v>
      </c>
      <c r="E41" s="134">
        <f>降流量!K6</f>
        <v>20</v>
      </c>
      <c r="F41" s="134"/>
      <c r="G41" s="133">
        <f>降流量!H6</f>
        <v>19.986370000000001</v>
      </c>
      <c r="H41" s="133"/>
      <c r="I41" s="5">
        <f t="shared" si="0"/>
        <v>6.8196475898320411E-2</v>
      </c>
      <c r="J41" s="163">
        <f>AVERAGE(I41:I46)</f>
        <v>7.0732220753331992E-2</v>
      </c>
      <c r="K41" s="167">
        <f>STDEV(I41:I46)/100</f>
        <v>5.3603022597203964E-4</v>
      </c>
      <c r="L41" s="155" t="str">
        <f>IF(OR(AND(J17&gt;=0,J23&gt;=0,J29&gt;=0,J35&gt;=0,J41&gt;=0),AND(J17&lt;=0,J23&lt;=0,J29&lt;=0,J35&lt;=0,J41&lt;=0)),FIXED(ABS(J41),2)&amp;"%","/(异号)")</f>
        <v>/(异号)</v>
      </c>
      <c r="M41" s="16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4.1" customHeight="1" x14ac:dyDescent="0.15">
      <c r="A42" s="1"/>
      <c r="B42" s="128"/>
      <c r="C42" s="2">
        <v>2</v>
      </c>
      <c r="D42" s="153"/>
      <c r="E42" s="134">
        <f>降流量!K11</f>
        <v>20</v>
      </c>
      <c r="F42" s="134"/>
      <c r="G42" s="133">
        <f>降流量!H11</f>
        <v>19.99945</v>
      </c>
      <c r="H42" s="133"/>
      <c r="I42" s="5">
        <f t="shared" si="0"/>
        <v>2.7500756270822176E-3</v>
      </c>
      <c r="J42" s="119"/>
      <c r="K42" s="168"/>
      <c r="L42" s="119"/>
      <c r="M42" s="16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4.1" customHeight="1" x14ac:dyDescent="0.15">
      <c r="A43" s="1"/>
      <c r="B43" s="128"/>
      <c r="C43" s="2">
        <v>3</v>
      </c>
      <c r="D43" s="154"/>
      <c r="E43" s="134">
        <f>降流量!K16</f>
        <v>20</v>
      </c>
      <c r="F43" s="134"/>
      <c r="G43" s="133">
        <f>降流量!H16</f>
        <v>19.99578</v>
      </c>
      <c r="H43" s="133"/>
      <c r="I43" s="5">
        <f t="shared" si="0"/>
        <v>2.1104453039591915E-2</v>
      </c>
      <c r="J43" s="119"/>
      <c r="K43" s="168"/>
      <c r="L43" s="119"/>
      <c r="M43" s="168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4.1" customHeight="1" x14ac:dyDescent="0.15">
      <c r="A44" s="1"/>
      <c r="B44" s="128"/>
      <c r="C44" s="2">
        <v>4</v>
      </c>
      <c r="D44" s="152" t="s">
        <v>82</v>
      </c>
      <c r="E44" s="134">
        <f>升流量!K5</f>
        <v>20</v>
      </c>
      <c r="F44" s="134"/>
      <c r="G44" s="133">
        <f>升流量!H5</f>
        <v>19.978280000000002</v>
      </c>
      <c r="H44" s="133"/>
      <c r="I44" s="5">
        <f t="shared" si="0"/>
        <v>0.10871806782164634</v>
      </c>
      <c r="J44" s="119"/>
      <c r="K44" s="168"/>
      <c r="L44" s="119"/>
      <c r="M44" s="168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4.1" customHeight="1" x14ac:dyDescent="0.15">
      <c r="A45" s="1"/>
      <c r="B45" s="128"/>
      <c r="C45" s="2">
        <v>5</v>
      </c>
      <c r="D45" s="153"/>
      <c r="E45" s="134">
        <f>升流量!K10</f>
        <v>20</v>
      </c>
      <c r="F45" s="134"/>
      <c r="G45" s="133">
        <f>升流量!H10</f>
        <v>19.984660000000002</v>
      </c>
      <c r="H45" s="133"/>
      <c r="I45" s="5">
        <f t="shared" si="0"/>
        <v>7.675887405639302E-2</v>
      </c>
      <c r="J45" s="119"/>
      <c r="K45" s="168"/>
      <c r="L45" s="119"/>
      <c r="M45" s="168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4.1" customHeight="1" x14ac:dyDescent="0.15">
      <c r="A46" s="1"/>
      <c r="B46" s="128"/>
      <c r="C46" s="2">
        <v>6</v>
      </c>
      <c r="D46" s="154"/>
      <c r="E46" s="134">
        <f>升流量!K15</f>
        <v>20</v>
      </c>
      <c r="F46" s="134"/>
      <c r="G46" s="133">
        <f>升流量!H15</f>
        <v>19.970669999999998</v>
      </c>
      <c r="H46" s="133"/>
      <c r="I46" s="5">
        <f t="shared" si="0"/>
        <v>0.14686537807695804</v>
      </c>
      <c r="J46" s="120"/>
      <c r="K46" s="169"/>
      <c r="L46" s="120"/>
      <c r="M46" s="169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4.1" customHeight="1" x14ac:dyDescent="0.15">
      <c r="A47" s="1"/>
      <c r="B47" s="155" t="s">
        <v>70</v>
      </c>
      <c r="C47" s="2">
        <v>1</v>
      </c>
      <c r="D47" s="7" t="s">
        <v>83</v>
      </c>
      <c r="E47" s="134">
        <f>降流量!K17</f>
        <v>20</v>
      </c>
      <c r="F47" s="134"/>
      <c r="G47" s="133">
        <f>ROUND(降流量!H17,6-LEN(INT(降流量!H17)))</f>
        <v>19.915900000000001</v>
      </c>
      <c r="H47" s="133"/>
      <c r="I47" s="5">
        <f t="shared" si="0"/>
        <v>0.42227566918893644</v>
      </c>
      <c r="J47" s="163">
        <f>AVERAGE(I47:I48)</f>
        <v>0.41068101875149104</v>
      </c>
      <c r="K47" s="155" t="s">
        <v>21</v>
      </c>
      <c r="L47" s="155" t="s">
        <v>21</v>
      </c>
      <c r="M47" s="164">
        <f>(MAX(J47:J51)-MIN(J47:J51))/100</f>
        <v>9.6010173143328929E-3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4.1" customHeight="1" x14ac:dyDescent="0.15">
      <c r="A48" s="1"/>
      <c r="B48" s="120"/>
      <c r="C48" s="2">
        <v>2</v>
      </c>
      <c r="D48" s="7" t="s">
        <v>84</v>
      </c>
      <c r="E48" s="134">
        <f>升流量!K4</f>
        <v>20</v>
      </c>
      <c r="F48" s="134"/>
      <c r="G48" s="133">
        <f>ROUND(升流量!H4,6-LEN(INT(升流量!H4)))</f>
        <v>19.920500000000001</v>
      </c>
      <c r="H48" s="133"/>
      <c r="I48" s="5">
        <f t="shared" si="0"/>
        <v>0.39908636831404565</v>
      </c>
      <c r="J48" s="120"/>
      <c r="K48" s="120"/>
      <c r="L48" s="120"/>
      <c r="M48" s="165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4.1" customHeight="1" x14ac:dyDescent="0.15">
      <c r="A49" s="1"/>
      <c r="B49" s="155" t="s">
        <v>192</v>
      </c>
      <c r="C49" s="2">
        <v>1</v>
      </c>
      <c r="D49" s="7" t="s">
        <v>83</v>
      </c>
      <c r="E49" s="134">
        <f>降流量!K18</f>
        <v>10</v>
      </c>
      <c r="F49" s="134"/>
      <c r="G49" s="133">
        <f>ROUND(降流量!H18,6-LEN(INT(降流量!H18)))</f>
        <v>10.0486</v>
      </c>
      <c r="H49" s="133"/>
      <c r="I49" s="5">
        <f t="shared" si="0"/>
        <v>-0.48364946360687472</v>
      </c>
      <c r="J49" s="163">
        <f>AVERAGE(I49:I50)</f>
        <v>-0.54942071268179837</v>
      </c>
      <c r="K49" s="155" t="s">
        <v>21</v>
      </c>
      <c r="L49" s="155" t="s">
        <v>21</v>
      </c>
      <c r="M49" s="16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4.1" customHeight="1" x14ac:dyDescent="0.15">
      <c r="A50" s="1"/>
      <c r="B50" s="120"/>
      <c r="C50" s="2">
        <v>2</v>
      </c>
      <c r="D50" s="7" t="s">
        <v>84</v>
      </c>
      <c r="E50" s="134">
        <f>升流量!K3</f>
        <v>10</v>
      </c>
      <c r="F50" s="134"/>
      <c r="G50" s="133">
        <f>ROUND(升流量!H3,6-LEN(INT(升流量!H3)))</f>
        <v>10.0619</v>
      </c>
      <c r="H50" s="133"/>
      <c r="I50" s="5">
        <f t="shared" si="0"/>
        <v>-0.61519196175672208</v>
      </c>
      <c r="J50" s="120"/>
      <c r="K50" s="120"/>
      <c r="L50" s="120"/>
      <c r="M50" s="165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4.1" customHeight="1" x14ac:dyDescent="0.15">
      <c r="A51" s="1"/>
      <c r="B51" s="155" t="s">
        <v>63</v>
      </c>
      <c r="C51" s="2">
        <v>1</v>
      </c>
      <c r="D51" s="7" t="s">
        <v>83</v>
      </c>
      <c r="E51" s="134">
        <f>降流量!K19</f>
        <v>10</v>
      </c>
      <c r="F51" s="134"/>
      <c r="G51" s="133">
        <f>ROUND(降流量!H19,6-LEN(INT(降流量!H19)))</f>
        <v>10.015700000000001</v>
      </c>
      <c r="H51" s="133"/>
      <c r="I51" s="5">
        <f>(E51-G51)/G51*100</f>
        <v>-0.1567538963826863</v>
      </c>
      <c r="J51" s="163">
        <f>AVERAGE(I51:I52)</f>
        <v>-0.2517735280932874</v>
      </c>
      <c r="K51" s="155" t="s">
        <v>21</v>
      </c>
      <c r="L51" s="155" t="s">
        <v>21</v>
      </c>
      <c r="M51" s="165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4.1" customHeight="1" x14ac:dyDescent="0.15">
      <c r="A52" s="1"/>
      <c r="B52" s="120"/>
      <c r="C52" s="2">
        <v>2</v>
      </c>
      <c r="D52" s="7" t="s">
        <v>84</v>
      </c>
      <c r="E52" s="134">
        <f>升流量!K2</f>
        <v>10</v>
      </c>
      <c r="F52" s="134"/>
      <c r="G52" s="133">
        <f>ROUND(升流量!H2,6-LEN(INT(升流量!H2)))</f>
        <v>10.034800000000001</v>
      </c>
      <c r="H52" s="133"/>
      <c r="I52" s="5">
        <f>(E52-G52)/G52*100</f>
        <v>-0.34679315980388853</v>
      </c>
      <c r="J52" s="120"/>
      <c r="K52" s="120"/>
      <c r="L52" s="120"/>
      <c r="M52" s="16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" customHeight="1" x14ac:dyDescent="0.15">
      <c r="A53" s="1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x14ac:dyDescent="0.15">
      <c r="A54" s="1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" x14ac:dyDescent="0.2">
      <c r="A55" s="1"/>
      <c r="B55" s="98" t="s">
        <v>49</v>
      </c>
      <c r="C55" s="99"/>
      <c r="D55" s="17"/>
      <c r="E55" s="17"/>
      <c r="F55" s="17"/>
      <c r="G55" s="100" t="s">
        <v>50</v>
      </c>
      <c r="H55" s="101"/>
      <c r="I55" s="17"/>
      <c r="J55" s="20" t="inlineStr">
        <is>
          <t>测量日期：</t>
        </is>
      </c>
      <c r="K55" s="101" t="inlineStr">
        <is>
          <t>2025.09.23 09:00～2025.09.23 16:00</t>
        </is>
      </c>
      <c r="L55" s="101"/>
      <c r="M55" s="10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8.1" customHeight="1" x14ac:dyDescent="0.15">
      <c r="A56" s="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" x14ac:dyDescent="0.15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102" t="s">
        <v>57</v>
      </c>
      <c r="M57" s="10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" x14ac:dyDescent="0.15">
      <c r="A58" s="1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" x14ac:dyDescent="0.15">
      <c r="A59" s="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x14ac:dyDescent="0.15">
      <c r="A60" s="1"/>
      <c r="B60" s="103" t="s">
        <v>66</v>
      </c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20.25" x14ac:dyDescent="0.15">
      <c r="A61" s="1"/>
      <c r="B61" s="104" t="s">
        <v>54</v>
      </c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20.25" x14ac:dyDescent="0.15">
      <c r="A62" s="1"/>
      <c r="B62" s="105" t="s">
        <v>67</v>
      </c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20.100000000000001" customHeight="1" x14ac:dyDescent="0.25">
      <c r="A63" s="1"/>
      <c r="B63" s="16"/>
      <c r="C63" s="16"/>
      <c r="D63" s="16"/>
      <c r="E63" s="16"/>
      <c r="F63" s="16"/>
      <c r="G63" s="16"/>
      <c r="H63" s="16"/>
      <c r="I63" s="107" t="s">
        <v>22</v>
      </c>
      <c r="J63" s="107"/>
      <c r="K63" s="108" t="str">
        <f>K4</f>
        <v>2026E70-40-000007</v>
      </c>
      <c r="L63" s="108"/>
      <c r="M63" s="108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20.100000000000001" customHeight="1" x14ac:dyDescent="0.2">
      <c r="A64" s="1"/>
      <c r="B64" s="12" t="s">
        <v>23</v>
      </c>
      <c r="C64" s="109" t="str">
        <f>C5</f>
        <v>上海真兰仪表科技股份有限公司</v>
      </c>
      <c r="D64" s="110"/>
      <c r="E64" s="110"/>
      <c r="F64" s="110"/>
      <c r="G64" s="110"/>
      <c r="H64" s="110"/>
      <c r="I64" s="107" t="s">
        <v>24</v>
      </c>
      <c r="J64" s="107"/>
      <c r="K64" s="111" t="str">
        <f>K5</f>
        <v>超声波燃气表</v>
      </c>
      <c r="L64" s="108"/>
      <c r="M64" s="108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20.100000000000001" customHeight="1" x14ac:dyDescent="0.2">
      <c r="A65" s="1"/>
      <c r="B65" s="12" t="s">
        <v>25</v>
      </c>
      <c r="C65" s="109" t="str">
        <f>C6</f>
        <v>上海真兰仪表科技股份有限公司</v>
      </c>
      <c r="D65" s="110"/>
      <c r="E65" s="110"/>
      <c r="F65" s="110"/>
      <c r="G65" s="110"/>
      <c r="H65" s="110"/>
      <c r="I65" s="107" t="s">
        <v>26</v>
      </c>
      <c r="J65" s="107"/>
      <c r="K65" s="175" t="str">
        <f>K6</f>
        <v>UWG4A LP Z2-NB</v>
      </c>
      <c r="L65" s="175"/>
      <c r="M65" s="175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20.100000000000001" customHeight="1" x14ac:dyDescent="0.2">
      <c r="A66" s="1"/>
      <c r="B66" s="13" t="s">
        <v>35</v>
      </c>
      <c r="C66" s="112" t="str">
        <f>C7</f>
        <v>2582928138</v>
      </c>
      <c r="D66" s="112"/>
      <c r="E66" s="112"/>
      <c r="F66" s="112"/>
      <c r="G66" s="113" t="s">
        <v>68</v>
      </c>
      <c r="H66" s="114"/>
      <c r="I66" s="10" t="s">
        <v>36</v>
      </c>
      <c r="J66" s="14" t="s">
        <v>39</v>
      </c>
      <c r="K66" s="15" t="str">
        <f>K7</f>
        <v>(20~21)℃</v>
      </c>
      <c r="L66" s="9" t="s">
        <v>38</v>
      </c>
      <c r="M66" s="15" t="str">
        <f>M7</f>
        <v>(62~64)%RH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20.100000000000001" customHeight="1" x14ac:dyDescent="0.2">
      <c r="A67" s="1"/>
      <c r="B67" s="18" t="s">
        <v>40</v>
      </c>
      <c r="C67" s="115" t="str">
        <f>C8</f>
        <v>(100~101)kPa</v>
      </c>
      <c r="D67" s="115"/>
      <c r="E67" s="115"/>
      <c r="F67" s="115"/>
      <c r="G67" s="116" t="s">
        <v>42</v>
      </c>
      <c r="H67" s="117"/>
      <c r="I67" s="108" t="str">
        <f>I8</f>
        <v>(0.016~6)m³/h</v>
      </c>
      <c r="J67" s="108"/>
      <c r="K67" s="14"/>
      <c r="L67" s="101"/>
      <c r="M67" s="10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20.100000000000001" customHeight="1" x14ac:dyDescent="0.2">
      <c r="A68" s="1"/>
      <c r="B68" s="18" t="s">
        <v>44</v>
      </c>
      <c r="C68" s="108" t="s">
        <v>45</v>
      </c>
      <c r="D68" s="108"/>
      <c r="E68" s="108"/>
      <c r="F68" s="108"/>
      <c r="G68" s="108"/>
      <c r="H68" s="108"/>
      <c r="I68" s="18" t="s">
        <v>46</v>
      </c>
      <c r="J68" s="108" t="s">
        <v>189</v>
      </c>
      <c r="K68" s="108"/>
      <c r="L68" s="20"/>
      <c r="M68" s="2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20.100000000000001" customHeight="1" x14ac:dyDescent="0.2">
      <c r="A69" s="1"/>
      <c r="B69" s="12" t="s">
        <v>64</v>
      </c>
      <c r="C69" s="178">
        <v>2816</v>
      </c>
      <c r="D69" s="178"/>
      <c r="E69" s="12"/>
      <c r="F69" s="12"/>
      <c r="G69" s="12"/>
      <c r="H69" s="12"/>
      <c r="I69" s="12"/>
      <c r="J69" s="12"/>
      <c r="K69" s="12"/>
      <c r="L69" s="12"/>
      <c r="M69" s="1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20.100000000000001" customHeight="1" x14ac:dyDescent="0.15">
      <c r="A70" s="1"/>
      <c r="B70" s="11" t="s">
        <v>48</v>
      </c>
      <c r="C70" s="135" t="s">
        <v>76</v>
      </c>
      <c r="D70" s="135"/>
      <c r="E70" s="22">
        <f>E12</f>
        <v>6</v>
      </c>
      <c r="F70" s="26" t="s">
        <v>77</v>
      </c>
      <c r="G70" s="135" t="s">
        <v>78</v>
      </c>
      <c r="H70" s="135"/>
      <c r="I70" s="22">
        <f>I12</f>
        <v>1.6E-2</v>
      </c>
      <c r="J70" s="26" t="s">
        <v>77</v>
      </c>
      <c r="K70" s="22" t="s">
        <v>94</v>
      </c>
      <c r="L70" s="22">
        <f>L12</f>
        <v>0.25</v>
      </c>
      <c r="M70" s="26" t="s">
        <v>77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20.100000000000001" customHeight="1" x14ac:dyDescent="0.15">
      <c r="A71" s="1"/>
      <c r="B71" s="124" t="s">
        <v>27</v>
      </c>
      <c r="C71" s="128" t="s">
        <v>28</v>
      </c>
      <c r="D71" s="128"/>
      <c r="E71" s="138" t="s">
        <v>29</v>
      </c>
      <c r="F71" s="139"/>
      <c r="G71" s="138" t="s">
        <v>30</v>
      </c>
      <c r="H71" s="139"/>
      <c r="I71" s="124" t="s">
        <v>31</v>
      </c>
      <c r="J71" s="124" t="s">
        <v>32</v>
      </c>
      <c r="K71" s="176" t="s">
        <v>90</v>
      </c>
      <c r="L71" s="174" t="s">
        <v>88</v>
      </c>
      <c r="M71" s="145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20.100000000000001" customHeight="1" x14ac:dyDescent="0.15">
      <c r="A72" s="1"/>
      <c r="B72" s="122"/>
      <c r="C72" s="128"/>
      <c r="D72" s="128"/>
      <c r="E72" s="140"/>
      <c r="F72" s="141"/>
      <c r="G72" s="140"/>
      <c r="H72" s="141"/>
      <c r="I72" s="122"/>
      <c r="J72" s="122"/>
      <c r="K72" s="177"/>
      <c r="L72" s="146"/>
      <c r="M72" s="147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20.100000000000001" customHeight="1" x14ac:dyDescent="0.15">
      <c r="A73" s="1"/>
      <c r="B73" s="122"/>
      <c r="C73" s="136"/>
      <c r="D73" s="137"/>
      <c r="E73" s="140"/>
      <c r="F73" s="141"/>
      <c r="G73" s="140"/>
      <c r="H73" s="141"/>
      <c r="I73" s="122"/>
      <c r="J73" s="122"/>
      <c r="K73" s="177"/>
      <c r="L73" s="146"/>
      <c r="M73" s="14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20.100000000000001" customHeight="1" x14ac:dyDescent="0.15">
      <c r="A74" s="1"/>
      <c r="B74" s="123"/>
      <c r="C74" s="136"/>
      <c r="D74" s="137"/>
      <c r="E74" s="142" t="s">
        <v>56</v>
      </c>
      <c r="F74" s="135"/>
      <c r="G74" s="142" t="s">
        <v>56</v>
      </c>
      <c r="H74" s="135"/>
      <c r="I74" s="3" t="s">
        <v>112</v>
      </c>
      <c r="J74" s="4" t="s">
        <v>55</v>
      </c>
      <c r="K74" s="4" t="s">
        <v>55</v>
      </c>
      <c r="L74" s="142"/>
      <c r="M74" s="14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20.100000000000001" customHeight="1" x14ac:dyDescent="0.15">
      <c r="A75" s="1"/>
      <c r="B75" s="128" t="s">
        <v>116</v>
      </c>
      <c r="C75" s="128">
        <v>1</v>
      </c>
      <c r="D75" s="128"/>
      <c r="E75" s="149">
        <f>重复性!K2</f>
        <v>100</v>
      </c>
      <c r="F75" s="149"/>
      <c r="G75" s="150">
        <f>重复性!H2</f>
        <v>98.961709999999997</v>
      </c>
      <c r="H75" s="150"/>
      <c r="I75" s="5">
        <f>(E75-G75)/G75*100</f>
        <v>1.0491835680689061</v>
      </c>
      <c r="J75" s="127">
        <f>AVERAGE(I75:I77)</f>
        <v>0.9461365655940005</v>
      </c>
      <c r="K75" s="179">
        <f>ABS((MAX(I75:I77)-MIN(I75:I77)))</f>
        <v>0.18772585776519957</v>
      </c>
      <c r="L75" s="174" t="s">
        <v>89</v>
      </c>
      <c r="M75" s="145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20.100000000000001" customHeight="1" x14ac:dyDescent="0.15">
      <c r="A76" s="1"/>
      <c r="B76" s="128"/>
      <c r="C76" s="128">
        <v>2</v>
      </c>
      <c r="D76" s="128"/>
      <c r="E76" s="149">
        <f>重复性!K3</f>
        <v>100</v>
      </c>
      <c r="F76" s="149"/>
      <c r="G76" s="150">
        <f>重复性!H3</f>
        <v>99.080759999999998</v>
      </c>
      <c r="H76" s="150"/>
      <c r="I76" s="5">
        <f t="shared" ref="I76:I83" si="1">(E76-G76)/G76*100</f>
        <v>0.92776841840938851</v>
      </c>
      <c r="J76" s="128"/>
      <c r="K76" s="179"/>
      <c r="L76" s="146"/>
      <c r="M76" s="147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20.100000000000001" customHeight="1" x14ac:dyDescent="0.15">
      <c r="A77" s="1"/>
      <c r="B77" s="128"/>
      <c r="C77" s="128">
        <v>3</v>
      </c>
      <c r="D77" s="128"/>
      <c r="E77" s="149">
        <f>重复性!K4</f>
        <v>100</v>
      </c>
      <c r="F77" s="149"/>
      <c r="G77" s="150">
        <f>重复性!H4</f>
        <v>99.145899999999997</v>
      </c>
      <c r="H77" s="150"/>
      <c r="I77" s="5">
        <f t="shared" si="1"/>
        <v>0.86145771030370655</v>
      </c>
      <c r="J77" s="128"/>
      <c r="K77" s="179"/>
      <c r="L77" s="146"/>
      <c r="M77" s="147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20.100000000000001" customHeight="1" x14ac:dyDescent="0.15">
      <c r="A78" s="1"/>
      <c r="B78" s="120" t="s">
        <v>92</v>
      </c>
      <c r="C78" s="128">
        <v>1</v>
      </c>
      <c r="D78" s="128"/>
      <c r="E78" s="149">
        <f>重复性!K5</f>
        <v>20</v>
      </c>
      <c r="F78" s="149"/>
      <c r="G78" s="150">
        <f>重复性!H5</f>
        <v>20.002300000000002</v>
      </c>
      <c r="H78" s="150"/>
      <c r="I78" s="5">
        <f t="shared" si="1"/>
        <v>-1.1498677652078735E-2</v>
      </c>
      <c r="J78" s="127">
        <f>AVERAGE(I78:I80)</f>
        <v>-1.048064354972369E-2</v>
      </c>
      <c r="K78" s="162">
        <f>ABS((MAX(I78:I80)-MIN(I78:I80)))</f>
        <v>3.0843847079483507E-2</v>
      </c>
      <c r="L78" s="146"/>
      <c r="M78" s="147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20.100000000000001" customHeight="1" x14ac:dyDescent="0.15">
      <c r="A79" s="1"/>
      <c r="B79" s="128"/>
      <c r="C79" s="128">
        <v>2</v>
      </c>
      <c r="D79" s="128"/>
      <c r="E79" s="149">
        <f>重复性!K6</f>
        <v>20</v>
      </c>
      <c r="F79" s="149"/>
      <c r="G79" s="150">
        <f>重复性!H6</f>
        <v>19.998909999999999</v>
      </c>
      <c r="H79" s="150"/>
      <c r="I79" s="5">
        <f t="shared" si="1"/>
        <v>5.4502970411955841E-3</v>
      </c>
      <c r="J79" s="128"/>
      <c r="K79" s="162"/>
      <c r="L79" s="146"/>
      <c r="M79" s="147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20.100000000000001" customHeight="1" x14ac:dyDescent="0.15">
      <c r="A80" s="1"/>
      <c r="B80" s="128"/>
      <c r="C80" s="128">
        <v>3</v>
      </c>
      <c r="D80" s="128"/>
      <c r="E80" s="149">
        <f>重复性!K7</f>
        <v>20</v>
      </c>
      <c r="F80" s="149"/>
      <c r="G80" s="150">
        <f>重复性!H7</f>
        <v>20.00508</v>
      </c>
      <c r="H80" s="150"/>
      <c r="I80" s="5">
        <f t="shared" si="1"/>
        <v>-2.5393550038287922E-2</v>
      </c>
      <c r="J80" s="128"/>
      <c r="K80" s="162"/>
      <c r="L80" s="146"/>
      <c r="M80" s="147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20.100000000000001" customHeight="1" x14ac:dyDescent="0.15">
      <c r="A81" s="1"/>
      <c r="B81" s="120" t="s">
        <v>91</v>
      </c>
      <c r="C81" s="128">
        <v>1</v>
      </c>
      <c r="D81" s="128"/>
      <c r="E81" s="149">
        <f>重复性!K8</f>
        <v>10</v>
      </c>
      <c r="F81" s="149"/>
      <c r="G81" s="150">
        <f>重复性!H8</f>
        <v>10.014900000000001</v>
      </c>
      <c r="H81" s="150"/>
      <c r="I81" s="5">
        <f t="shared" si="1"/>
        <v>-0.14877832030275689</v>
      </c>
      <c r="J81" s="127">
        <f>AVERAGE(I81:I83)</f>
        <v>-0.17352179459195735</v>
      </c>
      <c r="K81" s="162">
        <f>ABS((MAX(I81:I83)-MIN(I81:I83)))</f>
        <v>0.15482268678621305</v>
      </c>
      <c r="L81" s="146"/>
      <c r="M81" s="147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20.100000000000001" customHeight="1" x14ac:dyDescent="0.15">
      <c r="A82" s="1"/>
      <c r="B82" s="128"/>
      <c r="C82" s="128">
        <v>2</v>
      </c>
      <c r="D82" s="128"/>
      <c r="E82" s="149">
        <f>重复性!K9</f>
        <v>10</v>
      </c>
      <c r="F82" s="149"/>
      <c r="G82" s="150">
        <f>重复性!H9</f>
        <v>10.026400000000001</v>
      </c>
      <c r="H82" s="150"/>
      <c r="I82" s="5">
        <f t="shared" si="1"/>
        <v>-0.26330487512966411</v>
      </c>
      <c r="J82" s="128"/>
      <c r="K82" s="162"/>
      <c r="L82" s="146"/>
      <c r="M82" s="147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20.100000000000001" customHeight="1" x14ac:dyDescent="0.15">
      <c r="A83" s="1"/>
      <c r="B83" s="128"/>
      <c r="C83" s="128">
        <v>3</v>
      </c>
      <c r="D83" s="128"/>
      <c r="E83" s="149">
        <f>重复性!K10</f>
        <v>10</v>
      </c>
      <c r="F83" s="149"/>
      <c r="G83" s="150">
        <f>重复性!H10</f>
        <v>10.010859999999999</v>
      </c>
      <c r="H83" s="150"/>
      <c r="I83" s="5">
        <f t="shared" si="1"/>
        <v>-0.10848218834345105</v>
      </c>
      <c r="J83" s="128"/>
      <c r="K83" s="162"/>
      <c r="L83" s="142"/>
      <c r="M83" s="14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20.100000000000001" customHeight="1" x14ac:dyDescent="0.15">
      <c r="A84" s="1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20.100000000000001" customHeight="1" x14ac:dyDescent="0.15">
      <c r="A85" s="1"/>
      <c r="B85" s="158" t="s">
        <v>111</v>
      </c>
      <c r="C85" s="159"/>
      <c r="D85" s="125" t="s">
        <v>108</v>
      </c>
      <c r="E85" s="156"/>
      <c r="F85" s="156"/>
      <c r="G85" s="157"/>
      <c r="H85" s="125" t="s">
        <v>109</v>
      </c>
      <c r="I85" s="156"/>
      <c r="J85" s="157"/>
      <c r="K85" s="40" t="s">
        <v>110</v>
      </c>
      <c r="L85" s="148" t="s">
        <v>114</v>
      </c>
      <c r="M85" s="148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20.100000000000001" customHeight="1" x14ac:dyDescent="0.15">
      <c r="A86" s="1"/>
      <c r="B86" s="160"/>
      <c r="C86" s="161"/>
      <c r="D86" s="142" t="s">
        <v>113</v>
      </c>
      <c r="E86" s="135"/>
      <c r="F86" s="135"/>
      <c r="G86" s="143"/>
      <c r="H86" s="142" t="s">
        <v>113</v>
      </c>
      <c r="I86" s="135"/>
      <c r="J86" s="143"/>
      <c r="K86" s="29" t="s">
        <v>113</v>
      </c>
      <c r="L86" s="148"/>
      <c r="M86" s="148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20.100000000000001" customHeight="1" x14ac:dyDescent="0.15">
      <c r="A87" s="1"/>
      <c r="B87" s="128" t="s">
        <v>117</v>
      </c>
      <c r="C87" s="128"/>
      <c r="D87" s="162">
        <f>用户模式!J2</f>
        <v>0.97305418178885539</v>
      </c>
      <c r="E87" s="162"/>
      <c r="F87" s="162"/>
      <c r="G87" s="162"/>
      <c r="H87" s="127">
        <f>J17</f>
        <v>0.97582195955981754</v>
      </c>
      <c r="I87" s="128"/>
      <c r="J87" s="128"/>
      <c r="K87" s="30">
        <f>D87-H87</f>
        <v>-2.7677777709621543E-3</v>
      </c>
      <c r="L87" s="148" t="s">
        <v>115</v>
      </c>
      <c r="M87" s="128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20.100000000000001" customHeight="1" x14ac:dyDescent="0.15">
      <c r="A88" s="1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20.100000000000001" customHeight="1" x14ac:dyDescent="0.15">
      <c r="A89" s="1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20.100000000000001" customHeight="1" x14ac:dyDescent="0.15">
      <c r="A90" s="1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20.100000000000001" customHeight="1" x14ac:dyDescent="0.15">
      <c r="A91" s="1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20.100000000000001" customHeight="1" x14ac:dyDescent="0.15">
      <c r="A92" s="1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20.100000000000001" customHeight="1" x14ac:dyDescent="0.15">
      <c r="A93" s="1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20.100000000000001" customHeight="1" x14ac:dyDescent="0.15">
      <c r="A94" s="1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20.100000000000001" customHeight="1" x14ac:dyDescent="0.15">
      <c r="A95" s="1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20.100000000000001" customHeight="1" x14ac:dyDescent="0.15">
      <c r="A96" s="1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20.100000000000001" customHeight="1" x14ac:dyDescent="0.15">
      <c r="A97" s="1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20.100000000000001" customHeight="1" x14ac:dyDescent="0.15">
      <c r="A98" s="1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" x14ac:dyDescent="0.2">
      <c r="A99" s="1"/>
      <c r="B99" s="98" t="s">
        <v>49</v>
      </c>
      <c r="C99" s="99"/>
      <c r="D99" s="17"/>
      <c r="E99" s="17"/>
      <c r="F99" s="17"/>
      <c r="G99" s="100" t="s">
        <v>50</v>
      </c>
      <c r="H99" s="101"/>
      <c r="I99" s="17"/>
      <c r="J99" s="20" t="inlineStr">
        <is>
          <t>测量日期：</t>
        </is>
      </c>
      <c r="K99" s="101" t="inlineStr">
        <is>
          <t>2025.09.29 09:00～2025.09.29 16:00</t>
        </is>
      </c>
      <c r="L99" s="101"/>
      <c r="M99" s="10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x14ac:dyDescent="0.15">
      <c r="A100" s="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" x14ac:dyDescent="0.15">
      <c r="A101" s="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102" t="s">
        <v>57</v>
      </c>
      <c r="M101" s="10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" x14ac:dyDescent="0.15">
      <c r="A102" s="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" x14ac:dyDescent="0.15">
      <c r="A103" s="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" x14ac:dyDescent="0.15">
      <c r="A104" s="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x14ac:dyDescent="0.15">
      <c r="A105" s="1"/>
      <c r="B105" s="103" t="s">
        <v>66</v>
      </c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20.25" x14ac:dyDescent="0.15">
      <c r="A106" s="1"/>
      <c r="B106" s="104" t="s">
        <v>54</v>
      </c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20.25" x14ac:dyDescent="0.15">
      <c r="A107" s="1"/>
      <c r="B107" s="105" t="s">
        <v>67</v>
      </c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8" x14ac:dyDescent="0.25">
      <c r="A108" s="1"/>
      <c r="B108" s="16"/>
      <c r="C108" s="16"/>
      <c r="D108" s="16"/>
      <c r="E108" s="16"/>
      <c r="F108" s="16"/>
      <c r="G108" s="16"/>
      <c r="H108" s="16"/>
      <c r="I108" s="107" t="s">
        <v>22</v>
      </c>
      <c r="J108" s="107"/>
      <c r="K108" s="108" t="str">
        <f>K4</f>
        <v>2026E70-40-000007</v>
      </c>
      <c r="L108" s="108"/>
      <c r="M108" s="108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20.100000000000001" customHeight="1" x14ac:dyDescent="0.2">
      <c r="A109" s="1"/>
      <c r="B109" s="12" t="s">
        <v>23</v>
      </c>
      <c r="C109" s="110" t="str">
        <f>C5</f>
        <v>上海真兰仪表科技股份有限公司</v>
      </c>
      <c r="D109" s="110"/>
      <c r="E109" s="110"/>
      <c r="F109" s="110"/>
      <c r="G109" s="110"/>
      <c r="H109" s="110"/>
      <c r="I109" s="107" t="s">
        <v>137</v>
      </c>
      <c r="J109" s="107"/>
      <c r="K109" s="108" t="str">
        <f>K5</f>
        <v>超声波燃气表</v>
      </c>
      <c r="L109" s="108"/>
      <c r="M109" s="108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20.100000000000001" customHeight="1" x14ac:dyDescent="0.2">
      <c r="A110" s="1"/>
      <c r="B110" s="12" t="s">
        <v>25</v>
      </c>
      <c r="C110" s="110" t="str">
        <f>C6</f>
        <v>上海真兰仪表科技股份有限公司</v>
      </c>
      <c r="D110" s="110"/>
      <c r="E110" s="110"/>
      <c r="F110" s="110"/>
      <c r="G110" s="110"/>
      <c r="H110" s="110"/>
      <c r="I110" s="107" t="s">
        <v>132</v>
      </c>
      <c r="J110" s="107"/>
      <c r="K110" s="108" t="str">
        <f>K6</f>
        <v>UWG4A LP Z2-NB</v>
      </c>
      <c r="L110" s="108"/>
      <c r="M110" s="108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20.100000000000001" customHeight="1" x14ac:dyDescent="0.2">
      <c r="A111" s="1"/>
      <c r="B111" s="13" t="s">
        <v>35</v>
      </c>
      <c r="C111" s="112" t="str">
        <f>C7</f>
        <v>2582928138</v>
      </c>
      <c r="D111" s="112"/>
      <c r="E111" s="112"/>
      <c r="F111" s="112"/>
      <c r="G111" s="114" t="s">
        <v>133</v>
      </c>
      <c r="H111" s="114"/>
      <c r="I111" s="50" t="s">
        <v>134</v>
      </c>
      <c r="J111" s="54" t="s">
        <v>135</v>
      </c>
      <c r="K111" s="51" t="s">
        <v>37</v>
      </c>
      <c r="L111" s="52" t="s">
        <v>38</v>
      </c>
      <c r="M111" s="51" t="s">
        <v>199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20.100000000000001" customHeight="1" x14ac:dyDescent="0.2">
      <c r="A112" s="1"/>
      <c r="B112" s="18" t="s">
        <v>40</v>
      </c>
      <c r="C112" s="112" t="str">
        <f>C8</f>
        <v>(100~101)kPa</v>
      </c>
      <c r="D112" s="112"/>
      <c r="E112" s="112"/>
      <c r="F112" s="112"/>
      <c r="G112" s="117" t="s">
        <v>136</v>
      </c>
      <c r="H112" s="117"/>
      <c r="I112" s="108" t="str">
        <f>I8</f>
        <v>(0.016~6)m³/h</v>
      </c>
      <c r="J112" s="108"/>
      <c r="K112" s="54"/>
      <c r="L112" s="101"/>
      <c r="M112" s="10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20.100000000000001" customHeight="1" x14ac:dyDescent="0.2">
      <c r="A113" s="1"/>
      <c r="B113" s="18" t="s">
        <v>44</v>
      </c>
      <c r="C113" s="108" t="s">
        <v>45</v>
      </c>
      <c r="D113" s="108"/>
      <c r="E113" s="108"/>
      <c r="F113" s="108"/>
      <c r="G113" s="108"/>
      <c r="H113" s="108"/>
      <c r="I113" s="18" t="s">
        <v>46</v>
      </c>
      <c r="J113" s="108" t="s">
        <v>189</v>
      </c>
      <c r="K113" s="108"/>
      <c r="L113" s="43"/>
      <c r="M113" s="5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20.100000000000001" customHeight="1" x14ac:dyDescent="0.2">
      <c r="A114" s="1"/>
      <c r="B114" s="12" t="s">
        <v>64</v>
      </c>
      <c r="C114" s="12" t="s">
        <v>138</v>
      </c>
      <c r="D114" s="12" t="s">
        <v>139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20.100000000000001" customHeight="1" x14ac:dyDescent="0.15">
      <c r="A115" s="1"/>
      <c r="B115" s="11" t="s">
        <v>48</v>
      </c>
      <c r="C115" s="135" t="s">
        <v>76</v>
      </c>
      <c r="D115" s="135"/>
      <c r="E115" s="47">
        <f>E12</f>
        <v>6</v>
      </c>
      <c r="F115" s="26" t="s">
        <v>77</v>
      </c>
      <c r="G115" s="135" t="s">
        <v>78</v>
      </c>
      <c r="H115" s="135"/>
      <c r="I115" s="47">
        <f>I12</f>
        <v>1.6E-2</v>
      </c>
      <c r="J115" s="26" t="s">
        <v>77</v>
      </c>
      <c r="K115" s="47" t="s">
        <v>94</v>
      </c>
      <c r="L115" s="47">
        <f>L12</f>
        <v>0.25</v>
      </c>
      <c r="M115" s="26" t="s">
        <v>77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20.100000000000001" customHeight="1" x14ac:dyDescent="0.15">
      <c r="A116" s="1"/>
      <c r="B116" s="124" t="s">
        <v>140</v>
      </c>
      <c r="C116" s="128" t="s">
        <v>141</v>
      </c>
      <c r="D116" s="128"/>
      <c r="E116" s="138" t="s">
        <v>142</v>
      </c>
      <c r="F116" s="139"/>
      <c r="G116" s="138" t="s">
        <v>143</v>
      </c>
      <c r="H116" s="139"/>
      <c r="I116" s="124" t="s">
        <v>144</v>
      </c>
      <c r="J116" s="138" t="s">
        <v>145</v>
      </c>
      <c r="K116" s="139"/>
      <c r="L116" s="125" t="s">
        <v>146</v>
      </c>
      <c r="M116" s="145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20.100000000000001" customHeight="1" x14ac:dyDescent="0.15">
      <c r="A117" s="1"/>
      <c r="B117" s="122"/>
      <c r="C117" s="128"/>
      <c r="D117" s="128"/>
      <c r="E117" s="140"/>
      <c r="F117" s="141"/>
      <c r="G117" s="140"/>
      <c r="H117" s="141"/>
      <c r="I117" s="122"/>
      <c r="J117" s="140"/>
      <c r="K117" s="141"/>
      <c r="L117" s="146"/>
      <c r="M117" s="147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20.100000000000001" customHeight="1" x14ac:dyDescent="0.15">
      <c r="A118" s="1"/>
      <c r="B118" s="122"/>
      <c r="C118" s="136"/>
      <c r="D118" s="137"/>
      <c r="E118" s="140"/>
      <c r="F118" s="141"/>
      <c r="G118" s="140"/>
      <c r="H118" s="141"/>
      <c r="I118" s="122"/>
      <c r="J118" s="140"/>
      <c r="K118" s="141"/>
      <c r="L118" s="146"/>
      <c r="M118" s="147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20.100000000000001" customHeight="1" x14ac:dyDescent="0.15">
      <c r="A119" s="1"/>
      <c r="B119" s="123"/>
      <c r="C119" s="136"/>
      <c r="D119" s="137"/>
      <c r="E119" s="142" t="s">
        <v>147</v>
      </c>
      <c r="F119" s="135"/>
      <c r="G119" s="142" t="s">
        <v>147</v>
      </c>
      <c r="H119" s="135"/>
      <c r="I119" s="45" t="s">
        <v>148</v>
      </c>
      <c r="J119" s="142" t="s">
        <v>148</v>
      </c>
      <c r="K119" s="143"/>
      <c r="L119" s="142"/>
      <c r="M119" s="14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20.100000000000001" customHeight="1" x14ac:dyDescent="0.15">
      <c r="A120" s="1"/>
      <c r="B120" s="128" t="s">
        <v>149</v>
      </c>
      <c r="C120" s="128">
        <v>1</v>
      </c>
      <c r="D120" s="128"/>
      <c r="E120" s="149">
        <v>300</v>
      </c>
      <c r="F120" s="149"/>
      <c r="G120" s="150">
        <v>297.21960000000001</v>
      </c>
      <c r="H120" s="150"/>
      <c r="I120" s="5">
        <f t="shared" ref="I120:I131" si="2">(E120-G120)/G120*100</f>
        <v>0.93546993536092038</v>
      </c>
      <c r="J120" s="92">
        <f>AVERAGE(I120:I121)</f>
        <v>0.93479074656208727</v>
      </c>
      <c r="K120" s="93"/>
      <c r="L120" s="151" t="s">
        <v>152</v>
      </c>
      <c r="M120" s="145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20.100000000000001" customHeight="1" x14ac:dyDescent="0.15">
      <c r="A121" s="1"/>
      <c r="B121" s="128"/>
      <c r="C121" s="128">
        <v>2</v>
      </c>
      <c r="D121" s="128"/>
      <c r="E121" s="149">
        <v>300</v>
      </c>
      <c r="F121" s="149"/>
      <c r="G121" s="150">
        <v>297.22359999999998</v>
      </c>
      <c r="H121" s="150"/>
      <c r="I121" s="5">
        <f t="shared" si="2"/>
        <v>0.93411155776325427</v>
      </c>
      <c r="J121" s="96"/>
      <c r="K121" s="97"/>
      <c r="L121" s="146"/>
      <c r="M121" s="147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20.100000000000001" customHeight="1" x14ac:dyDescent="0.15">
      <c r="A122" s="1"/>
      <c r="B122" s="128" t="s">
        <v>150</v>
      </c>
      <c r="C122" s="128">
        <v>1</v>
      </c>
      <c r="D122" s="128"/>
      <c r="E122" s="149">
        <v>200</v>
      </c>
      <c r="F122" s="149"/>
      <c r="G122" s="150">
        <v>200.08770000000001</v>
      </c>
      <c r="H122" s="150"/>
      <c r="I122" s="5">
        <f t="shared" si="2"/>
        <v>-4.3830780202887193E-2</v>
      </c>
      <c r="J122" s="92">
        <f>AVERAGE(I122:I123)</f>
        <v>-4.6003779497751703E-2</v>
      </c>
      <c r="K122" s="93"/>
      <c r="L122" s="146"/>
      <c r="M122" s="147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20.100000000000001" customHeight="1" x14ac:dyDescent="0.15">
      <c r="A123" s="1"/>
      <c r="B123" s="128"/>
      <c r="C123" s="128">
        <v>2</v>
      </c>
      <c r="D123" s="128"/>
      <c r="E123" s="149">
        <v>200</v>
      </c>
      <c r="F123" s="149"/>
      <c r="G123" s="150">
        <v>200.09639999999999</v>
      </c>
      <c r="H123" s="150"/>
      <c r="I123" s="5">
        <f t="shared" si="2"/>
        <v>-4.8176778792616212E-2</v>
      </c>
      <c r="J123" s="96"/>
      <c r="K123" s="97"/>
      <c r="L123" s="146"/>
      <c r="M123" s="147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20.100000000000001" customHeight="1" x14ac:dyDescent="0.15">
      <c r="A124" s="1"/>
      <c r="B124" s="128" t="s">
        <v>151</v>
      </c>
      <c r="C124" s="128">
        <v>1</v>
      </c>
      <c r="D124" s="128"/>
      <c r="E124" s="149">
        <v>75</v>
      </c>
      <c r="F124" s="149"/>
      <c r="G124" s="150">
        <v>74.9221</v>
      </c>
      <c r="H124" s="150"/>
      <c r="I124" s="5">
        <f t="shared" si="2"/>
        <v>0.10397466168193316</v>
      </c>
      <c r="J124" s="92">
        <f>AVERAGE(I124:I125)</f>
        <v>0.10551123239970335</v>
      </c>
      <c r="K124" s="93"/>
      <c r="L124" s="146"/>
      <c r="M124" s="147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20.100000000000001" customHeight="1" x14ac:dyDescent="0.15">
      <c r="A125" s="1"/>
      <c r="B125" s="128"/>
      <c r="C125" s="128">
        <v>2</v>
      </c>
      <c r="D125" s="128"/>
      <c r="E125" s="149">
        <v>75</v>
      </c>
      <c r="F125" s="149"/>
      <c r="G125" s="150">
        <v>74.919799999999995</v>
      </c>
      <c r="H125" s="150"/>
      <c r="I125" s="5">
        <f t="shared" si="2"/>
        <v>0.10704780311747354</v>
      </c>
      <c r="J125" s="96"/>
      <c r="K125" s="97"/>
      <c r="L125" s="146"/>
      <c r="M125" s="147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20.100000000000001" customHeight="1" x14ac:dyDescent="0.15">
      <c r="A126" s="1"/>
      <c r="B126" s="128" t="s">
        <v>149</v>
      </c>
      <c r="C126" s="128">
        <v>1</v>
      </c>
      <c r="D126" s="128"/>
      <c r="E126" s="149">
        <f>温度适应性!B4</f>
        <v>300</v>
      </c>
      <c r="F126" s="149"/>
      <c r="G126" s="150">
        <f>温度适应性!F4</f>
        <v>297.17527764027784</v>
      </c>
      <c r="H126" s="150"/>
      <c r="I126" s="5">
        <f t="shared" si="2"/>
        <v>0.95052400796993775</v>
      </c>
      <c r="J126" s="92">
        <f>AVERAGE(I126:I127)</f>
        <v>0.93177414468396647</v>
      </c>
      <c r="K126" s="93"/>
      <c r="L126" s="151" t="s">
        <v>188</v>
      </c>
      <c r="M126" s="14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20.100000000000001" customHeight="1" x14ac:dyDescent="0.15">
      <c r="A127" s="1"/>
      <c r="B127" s="128"/>
      <c r="C127" s="128">
        <v>2</v>
      </c>
      <c r="D127" s="128"/>
      <c r="E127" s="149">
        <f>温度适应性!B5</f>
        <v>300</v>
      </c>
      <c r="F127" s="149"/>
      <c r="G127" s="150">
        <f>温度适应性!F5</f>
        <v>297.28570928906458</v>
      </c>
      <c r="H127" s="150"/>
      <c r="I127" s="5">
        <f t="shared" si="2"/>
        <v>0.9130242813979953</v>
      </c>
      <c r="J127" s="96"/>
      <c r="K127" s="97"/>
      <c r="L127" s="146"/>
      <c r="M127" s="147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20.100000000000001" customHeight="1" x14ac:dyDescent="0.15">
      <c r="A128" s="1"/>
      <c r="B128" s="128" t="s">
        <v>150</v>
      </c>
      <c r="C128" s="128">
        <v>1</v>
      </c>
      <c r="D128" s="128"/>
      <c r="E128" s="149">
        <f>温度适应性!B6</f>
        <v>200</v>
      </c>
      <c r="F128" s="149"/>
      <c r="G128" s="150">
        <f>温度适应性!F6</f>
        <v>198.81189639370893</v>
      </c>
      <c r="H128" s="150"/>
      <c r="I128" s="5">
        <f t="shared" si="2"/>
        <v>0.59760186781693048</v>
      </c>
      <c r="J128" s="92">
        <f>AVERAGE(I128:I129)</f>
        <v>0.57318253070017244</v>
      </c>
      <c r="K128" s="93"/>
      <c r="L128" s="146"/>
      <c r="M128" s="147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20.100000000000001" customHeight="1" x14ac:dyDescent="0.15">
      <c r="A129" s="1"/>
      <c r="B129" s="128"/>
      <c r="C129" s="128">
        <v>2</v>
      </c>
      <c r="D129" s="128"/>
      <c r="E129" s="149">
        <f>温度适应性!B7</f>
        <v>200</v>
      </c>
      <c r="F129" s="149"/>
      <c r="G129" s="150">
        <f>温度适应性!F7</f>
        <v>198.90846356304374</v>
      </c>
      <c r="H129" s="150"/>
      <c r="I129" s="5">
        <f t="shared" si="2"/>
        <v>0.54876319358341441</v>
      </c>
      <c r="J129" s="96"/>
      <c r="K129" s="97"/>
      <c r="L129" s="146"/>
      <c r="M129" s="147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20.100000000000001" customHeight="1" x14ac:dyDescent="0.15">
      <c r="A130" s="1"/>
      <c r="B130" s="128" t="s">
        <v>151</v>
      </c>
      <c r="C130" s="128">
        <v>1</v>
      </c>
      <c r="D130" s="128"/>
      <c r="E130" s="149">
        <f>温度适应性!B8</f>
        <v>75</v>
      </c>
      <c r="F130" s="149"/>
      <c r="G130" s="150">
        <f>温度适应性!F8</f>
        <v>74.726512824328211</v>
      </c>
      <c r="H130" s="150"/>
      <c r="I130" s="5">
        <f t="shared" si="2"/>
        <v>0.36598412709920003</v>
      </c>
      <c r="J130" s="92">
        <f>AVERAGE(I130:I131)</f>
        <v>0.34665941254596577</v>
      </c>
      <c r="K130" s="93"/>
      <c r="L130" s="146"/>
      <c r="M130" s="147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20.100000000000001" customHeight="1" x14ac:dyDescent="0.15">
      <c r="A131" s="1"/>
      <c r="B131" s="128"/>
      <c r="C131" s="128">
        <v>2</v>
      </c>
      <c r="D131" s="128"/>
      <c r="E131" s="149">
        <f>温度适应性!B9</f>
        <v>75</v>
      </c>
      <c r="F131" s="149"/>
      <c r="G131" s="150">
        <f>温度适应性!F9</f>
        <v>74.755299964627227</v>
      </c>
      <c r="H131" s="150"/>
      <c r="I131" s="5">
        <f t="shared" si="2"/>
        <v>0.32733469799273152</v>
      </c>
      <c r="J131" s="94"/>
      <c r="K131" s="95"/>
      <c r="L131" s="142"/>
      <c r="M131" s="14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20.100000000000001" customHeight="1" x14ac:dyDescent="0.15">
      <c r="A132" s="1"/>
      <c r="B132" s="128" t="s">
        <v>149</v>
      </c>
      <c r="C132" s="128">
        <v>1</v>
      </c>
      <c r="D132" s="128"/>
      <c r="E132" s="149">
        <f>温度适应性!B14</f>
        <v>300</v>
      </c>
      <c r="F132" s="149"/>
      <c r="G132" s="150">
        <f>温度适应性!F14</f>
        <v>298.76403687006564</v>
      </c>
      <c r="H132" s="150"/>
      <c r="I132" s="5">
        <f t="shared" ref="I132:I143" si="3">(E132-G132)/G132*100</f>
        <v>0.41369207046559286</v>
      </c>
      <c r="J132" s="92">
        <f>AVERAGE(I132:I133)</f>
        <v>0.43494546694107894</v>
      </c>
      <c r="K132" s="93"/>
      <c r="L132" s="151" t="s">
        <v>187</v>
      </c>
      <c r="M132" s="14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20.100000000000001" customHeight="1" x14ac:dyDescent="0.15">
      <c r="A133" s="1"/>
      <c r="B133" s="128"/>
      <c r="C133" s="128">
        <v>2</v>
      </c>
      <c r="D133" s="128"/>
      <c r="E133" s="149">
        <f>温度适应性!B15</f>
        <v>300</v>
      </c>
      <c r="F133" s="149"/>
      <c r="G133" s="150">
        <f>温度适应性!F15</f>
        <v>298.63761857831145</v>
      </c>
      <c r="H133" s="150"/>
      <c r="I133" s="5">
        <f t="shared" si="3"/>
        <v>0.45619886341656501</v>
      </c>
      <c r="J133" s="96"/>
      <c r="K133" s="97"/>
      <c r="L133" s="146"/>
      <c r="M133" s="147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20.100000000000001" customHeight="1" x14ac:dyDescent="0.15">
      <c r="A134" s="1"/>
      <c r="B134" s="128" t="s">
        <v>150</v>
      </c>
      <c r="C134" s="128">
        <v>1</v>
      </c>
      <c r="D134" s="128"/>
      <c r="E134" s="149">
        <f>温度适应性!B16</f>
        <v>200</v>
      </c>
      <c r="F134" s="149"/>
      <c r="G134" s="150">
        <f>温度适应性!F16</f>
        <v>200.22100288411843</v>
      </c>
      <c r="H134" s="150"/>
      <c r="I134" s="5">
        <f t="shared" si="3"/>
        <v>-0.11037947115185684</v>
      </c>
      <c r="J134" s="92">
        <f>AVERAGE(I134:I135)</f>
        <v>-0.12060528681531277</v>
      </c>
      <c r="K134" s="93"/>
      <c r="L134" s="146"/>
      <c r="M134" s="147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20.100000000000001" customHeight="1" x14ac:dyDescent="0.15">
      <c r="A135" s="1"/>
      <c r="B135" s="128"/>
      <c r="C135" s="128">
        <v>2</v>
      </c>
      <c r="D135" s="128"/>
      <c r="E135" s="149">
        <f>温度适应性!B17</f>
        <v>200</v>
      </c>
      <c r="F135" s="149"/>
      <c r="G135" s="150">
        <f>温度适应性!F17</f>
        <v>200.26200498897316</v>
      </c>
      <c r="H135" s="150"/>
      <c r="I135" s="5">
        <f t="shared" si="3"/>
        <v>-0.1308311024787687</v>
      </c>
      <c r="J135" s="96"/>
      <c r="K135" s="97"/>
      <c r="L135" s="146"/>
      <c r="M135" s="147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20.100000000000001" customHeight="1" x14ac:dyDescent="0.15">
      <c r="A136" s="1"/>
      <c r="B136" s="128" t="s">
        <v>151</v>
      </c>
      <c r="C136" s="128">
        <v>1</v>
      </c>
      <c r="D136" s="128"/>
      <c r="E136" s="149">
        <f>温度适应性!B18</f>
        <v>75</v>
      </c>
      <c r="F136" s="149"/>
      <c r="G136" s="150">
        <f>温度适应性!F18</f>
        <v>74.907291330789022</v>
      </c>
      <c r="H136" s="150"/>
      <c r="I136" s="5">
        <f t="shared" si="3"/>
        <v>0.12376454623299442</v>
      </c>
      <c r="J136" s="92">
        <f>AVERAGE(I136:I137)</f>
        <v>8.9530271339810175E-2</v>
      </c>
      <c r="K136" s="93"/>
      <c r="L136" s="146"/>
      <c r="M136" s="147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20.100000000000001" customHeight="1" x14ac:dyDescent="0.15">
      <c r="A137" s="1"/>
      <c r="B137" s="128"/>
      <c r="C137" s="128">
        <v>2</v>
      </c>
      <c r="D137" s="128"/>
      <c r="E137" s="149">
        <f>温度适应性!B19</f>
        <v>75</v>
      </c>
      <c r="F137" s="149"/>
      <c r="G137" s="150">
        <f>温度适应性!F19</f>
        <v>74.958550922345538</v>
      </c>
      <c r="H137" s="150"/>
      <c r="I137" s="5">
        <f t="shared" si="3"/>
        <v>5.5295996446625945E-2</v>
      </c>
      <c r="J137" s="96"/>
      <c r="K137" s="97"/>
      <c r="L137" s="142"/>
      <c r="M137" s="143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20.100000000000001" customHeight="1" x14ac:dyDescent="0.15">
      <c r="A138" s="1"/>
      <c r="B138" s="128" t="s">
        <v>149</v>
      </c>
      <c r="C138" s="128">
        <v>1</v>
      </c>
      <c r="D138" s="128"/>
      <c r="E138" s="149">
        <v>300</v>
      </c>
      <c r="F138" s="149"/>
      <c r="G138" s="150">
        <v>297.3254</v>
      </c>
      <c r="H138" s="150"/>
      <c r="I138" s="5">
        <f t="shared" si="3"/>
        <v>0.89955314951228449</v>
      </c>
      <c r="J138" s="92">
        <f>AVERAGE(I138:I139)</f>
        <v>0.89427669498220386</v>
      </c>
      <c r="K138" s="93"/>
      <c r="L138" s="151" t="s">
        <v>153</v>
      </c>
      <c r="M138" s="14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20.100000000000001" customHeight="1" x14ac:dyDescent="0.15">
      <c r="A139" s="1"/>
      <c r="B139" s="128"/>
      <c r="C139" s="128">
        <v>2</v>
      </c>
      <c r="D139" s="128"/>
      <c r="E139" s="149">
        <v>300</v>
      </c>
      <c r="F139" s="149"/>
      <c r="G139" s="150">
        <v>297.35649999999998</v>
      </c>
      <c r="H139" s="150"/>
      <c r="I139" s="5">
        <f t="shared" si="3"/>
        <v>0.88900024045212322</v>
      </c>
      <c r="J139" s="96"/>
      <c r="K139" s="97"/>
      <c r="L139" s="146"/>
      <c r="M139" s="147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20.100000000000001" customHeight="1" x14ac:dyDescent="0.15">
      <c r="A140" s="1"/>
      <c r="B140" s="128" t="s">
        <v>150</v>
      </c>
      <c r="C140" s="128">
        <v>1</v>
      </c>
      <c r="D140" s="128"/>
      <c r="E140" s="149">
        <v>200</v>
      </c>
      <c r="F140" s="149"/>
      <c r="G140" s="150">
        <v>200.06540000000001</v>
      </c>
      <c r="H140" s="150"/>
      <c r="I140" s="5">
        <f t="shared" si="3"/>
        <v>-3.2689310595440793E-2</v>
      </c>
      <c r="J140" s="92">
        <f>AVERAGE(I140:I141)</f>
        <v>-3.6611437117690444E-2</v>
      </c>
      <c r="K140" s="93"/>
      <c r="L140" s="146"/>
      <c r="M140" s="147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20.100000000000001" customHeight="1" x14ac:dyDescent="0.15">
      <c r="A141" s="1"/>
      <c r="B141" s="128"/>
      <c r="C141" s="128">
        <v>2</v>
      </c>
      <c r="D141" s="128"/>
      <c r="E141" s="149">
        <v>200</v>
      </c>
      <c r="F141" s="149"/>
      <c r="G141" s="150">
        <v>200.08109999999999</v>
      </c>
      <c r="H141" s="150"/>
      <c r="I141" s="5">
        <f t="shared" si="3"/>
        <v>-4.0533563639940096E-2</v>
      </c>
      <c r="J141" s="96"/>
      <c r="K141" s="97"/>
      <c r="L141" s="146"/>
      <c r="M141" s="147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20.100000000000001" customHeight="1" x14ac:dyDescent="0.15">
      <c r="A142" s="1"/>
      <c r="B142" s="128" t="s">
        <v>151</v>
      </c>
      <c r="C142" s="128">
        <v>1</v>
      </c>
      <c r="D142" s="128"/>
      <c r="E142" s="149">
        <v>75</v>
      </c>
      <c r="F142" s="149"/>
      <c r="G142" s="150">
        <v>74.883300000000006</v>
      </c>
      <c r="H142" s="150"/>
      <c r="I142" s="5">
        <f t="shared" si="3"/>
        <v>0.1558424909158577</v>
      </c>
      <c r="J142" s="92">
        <f>AVERAGE(I142:I143)</f>
        <v>0.14821994483184964</v>
      </c>
      <c r="K142" s="93"/>
      <c r="L142" s="146"/>
      <c r="M142" s="147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20.100000000000001" customHeight="1" x14ac:dyDescent="0.15">
      <c r="A143" s="1"/>
      <c r="B143" s="128"/>
      <c r="C143" s="128">
        <v>2</v>
      </c>
      <c r="D143" s="128"/>
      <c r="E143" s="149">
        <v>75</v>
      </c>
      <c r="F143" s="149"/>
      <c r="G143" s="150">
        <v>74.8947</v>
      </c>
      <c r="H143" s="150"/>
      <c r="I143" s="5">
        <f t="shared" si="3"/>
        <v>0.14059739874784161</v>
      </c>
      <c r="J143" s="94"/>
      <c r="K143" s="95"/>
      <c r="L143" s="142"/>
      <c r="M143" s="14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" x14ac:dyDescent="0.15">
      <c r="A144" s="1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" x14ac:dyDescent="0.2">
      <c r="A145" s="1"/>
      <c r="B145" s="98" t="s">
        <v>49</v>
      </c>
      <c r="C145" s="99"/>
      <c r="D145" s="44"/>
      <c r="E145" s="44"/>
      <c r="F145" s="44"/>
      <c r="G145" s="100" t="s">
        <v>50</v>
      </c>
      <c r="H145" s="101"/>
      <c r="I145" s="44"/>
      <c r="J145" s="43" t="inlineStr">
        <is>
          <t>测量日期：</t>
        </is>
      </c>
      <c r="K145" s="101" t="inlineStr">
        <is>
          <t>2025.10.31 09:00～2025.11.03 16:00</t>
        </is>
      </c>
      <c r="L145" s="101"/>
      <c r="M145" s="10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x14ac:dyDescent="0.15">
      <c r="A146" s="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" x14ac:dyDescent="0.15">
      <c r="A147" s="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102" t="s">
        <v>57</v>
      </c>
      <c r="M147" s="10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" x14ac:dyDescent="0.15">
      <c r="A148" s="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" x14ac:dyDescent="0.15">
      <c r="A149" s="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x14ac:dyDescent="0.15">
      <c r="A150" s="1"/>
      <c r="B150" s="103" t="s">
        <v>66</v>
      </c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20.25" x14ac:dyDescent="0.15">
      <c r="A151" s="1"/>
      <c r="B151" s="104" t="s">
        <v>54</v>
      </c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20.25" x14ac:dyDescent="0.15">
      <c r="A152" s="1"/>
      <c r="B152" s="105" t="s">
        <v>67</v>
      </c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20.100000000000001" customHeight="1" x14ac:dyDescent="0.25">
      <c r="A153" s="1"/>
      <c r="B153" s="16"/>
      <c r="C153" s="16"/>
      <c r="D153" s="16"/>
      <c r="E153" s="16"/>
      <c r="F153" s="16"/>
      <c r="G153" s="16"/>
      <c r="H153" s="16"/>
      <c r="I153" s="107" t="s">
        <v>22</v>
      </c>
      <c r="J153" s="107"/>
      <c r="K153" s="108" t="str">
        <f>K4</f>
        <v>2026E70-40-000007</v>
      </c>
      <c r="L153" s="108"/>
      <c r="M153" s="108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20.100000000000001" customHeight="1" x14ac:dyDescent="0.2">
      <c r="A154" s="1"/>
      <c r="B154" s="12" t="s">
        <v>23</v>
      </c>
      <c r="C154" s="110" t="str">
        <f>C5</f>
        <v>上海真兰仪表科技股份有限公司</v>
      </c>
      <c r="D154" s="110"/>
      <c r="E154" s="110"/>
      <c r="F154" s="110"/>
      <c r="G154" s="110"/>
      <c r="H154" s="110"/>
      <c r="I154" s="107" t="s">
        <v>137</v>
      </c>
      <c r="J154" s="107"/>
      <c r="K154" s="108" t="str">
        <f>K5</f>
        <v>超声波燃气表</v>
      </c>
      <c r="L154" s="108"/>
      <c r="M154" s="108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20.100000000000001" customHeight="1" x14ac:dyDescent="0.2">
      <c r="A155" s="1"/>
      <c r="B155" s="12" t="s">
        <v>25</v>
      </c>
      <c r="C155" s="110" t="str">
        <f>C6</f>
        <v>上海真兰仪表科技股份有限公司</v>
      </c>
      <c r="D155" s="110"/>
      <c r="E155" s="110"/>
      <c r="F155" s="110"/>
      <c r="G155" s="110"/>
      <c r="H155" s="110"/>
      <c r="I155" s="107" t="s">
        <v>132</v>
      </c>
      <c r="J155" s="107"/>
      <c r="K155" s="108" t="str">
        <f>K6</f>
        <v>UWG4A LP Z2-NB</v>
      </c>
      <c r="L155" s="108"/>
      <c r="M155" s="108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20.100000000000001" customHeight="1" x14ac:dyDescent="0.2">
      <c r="A156" s="1"/>
      <c r="B156" s="13" t="s">
        <v>35</v>
      </c>
      <c r="C156" s="112" t="str">
        <f>C7</f>
        <v>2582928138</v>
      </c>
      <c r="D156" s="112"/>
      <c r="E156" s="112"/>
      <c r="F156" s="112"/>
      <c r="G156" s="114" t="s">
        <v>133</v>
      </c>
      <c r="H156" s="114"/>
      <c r="I156" s="50" t="s">
        <v>134</v>
      </c>
      <c r="J156" s="54" t="s">
        <v>135</v>
      </c>
      <c r="K156" s="51" t="s">
        <v>37</v>
      </c>
      <c r="L156" s="52" t="s">
        <v>38</v>
      </c>
      <c r="M156" s="51" t="s">
        <v>200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20.100000000000001" customHeight="1" x14ac:dyDescent="0.2">
      <c r="A157" s="1"/>
      <c r="B157" s="18" t="s">
        <v>40</v>
      </c>
      <c r="C157" s="112" t="str">
        <f>C8</f>
        <v>(100~101)kPa</v>
      </c>
      <c r="D157" s="112"/>
      <c r="E157" s="112"/>
      <c r="F157" s="112"/>
      <c r="G157" s="117" t="s">
        <v>136</v>
      </c>
      <c r="H157" s="117"/>
      <c r="I157" s="108" t="str">
        <f>I8</f>
        <v>(0.016~6)m³/h</v>
      </c>
      <c r="J157" s="108"/>
      <c r="K157" s="54"/>
      <c r="L157" s="101"/>
      <c r="M157" s="10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20.100000000000001" customHeight="1" x14ac:dyDescent="0.2">
      <c r="A158" s="1"/>
      <c r="B158" s="18" t="s">
        <v>44</v>
      </c>
      <c r="C158" s="108" t="s">
        <v>45</v>
      </c>
      <c r="D158" s="108"/>
      <c r="E158" s="108"/>
      <c r="F158" s="108"/>
      <c r="G158" s="108"/>
      <c r="H158" s="108"/>
      <c r="I158" s="18" t="s">
        <v>46</v>
      </c>
      <c r="J158" s="108" t="s">
        <v>189</v>
      </c>
      <c r="K158" s="108"/>
      <c r="L158" s="43"/>
      <c r="M158" s="53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20.100000000000001" customHeight="1" x14ac:dyDescent="0.2">
      <c r="A159" s="1"/>
      <c r="B159" s="12" t="s">
        <v>64</v>
      </c>
      <c r="C159" s="12" t="s">
        <v>138</v>
      </c>
      <c r="D159" s="144">
        <v>2816</v>
      </c>
      <c r="E159" s="144"/>
      <c r="F159" s="12"/>
      <c r="G159" s="12"/>
      <c r="H159" s="12"/>
      <c r="I159" s="12"/>
      <c r="J159" s="12"/>
      <c r="K159" s="12"/>
      <c r="L159" s="12"/>
      <c r="M159" s="1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20.100000000000001" customHeight="1" x14ac:dyDescent="0.15">
      <c r="A160" s="1"/>
      <c r="B160" s="11" t="s">
        <v>48</v>
      </c>
      <c r="C160" s="135" t="s">
        <v>76</v>
      </c>
      <c r="D160" s="135"/>
      <c r="E160" s="47">
        <f>E12</f>
        <v>6</v>
      </c>
      <c r="F160" s="26" t="s">
        <v>77</v>
      </c>
      <c r="G160" s="135" t="s">
        <v>78</v>
      </c>
      <c r="H160" s="135"/>
      <c r="I160" s="47">
        <f>I12</f>
        <v>1.6E-2</v>
      </c>
      <c r="J160" s="26" t="s">
        <v>77</v>
      </c>
      <c r="K160" s="47" t="s">
        <v>94</v>
      </c>
      <c r="L160" s="47">
        <f>L12</f>
        <v>0.25</v>
      </c>
      <c r="M160" s="26" t="s">
        <v>77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20.100000000000001" customHeight="1" x14ac:dyDescent="0.15">
      <c r="A161" s="1"/>
      <c r="B161" s="124" t="s">
        <v>140</v>
      </c>
      <c r="C161" s="128" t="s">
        <v>141</v>
      </c>
      <c r="D161" s="128"/>
      <c r="E161" s="138" t="s">
        <v>142</v>
      </c>
      <c r="F161" s="139"/>
      <c r="G161" s="138" t="s">
        <v>143</v>
      </c>
      <c r="H161" s="139"/>
      <c r="I161" s="124" t="s">
        <v>144</v>
      </c>
      <c r="J161" s="138" t="s">
        <v>145</v>
      </c>
      <c r="K161" s="139"/>
      <c r="L161" s="125" t="s">
        <v>146</v>
      </c>
      <c r="M161" s="14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20.100000000000001" customHeight="1" x14ac:dyDescent="0.15">
      <c r="A162" s="1"/>
      <c r="B162" s="122"/>
      <c r="C162" s="128"/>
      <c r="D162" s="128"/>
      <c r="E162" s="140"/>
      <c r="F162" s="141"/>
      <c r="G162" s="140"/>
      <c r="H162" s="141"/>
      <c r="I162" s="122"/>
      <c r="J162" s="140"/>
      <c r="K162" s="141"/>
      <c r="L162" s="146"/>
      <c r="M162" s="147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20.100000000000001" customHeight="1" x14ac:dyDescent="0.15">
      <c r="A163" s="1"/>
      <c r="B163" s="122"/>
      <c r="C163" s="136"/>
      <c r="D163" s="137"/>
      <c r="E163" s="140"/>
      <c r="F163" s="141"/>
      <c r="G163" s="140"/>
      <c r="H163" s="141"/>
      <c r="I163" s="122"/>
      <c r="J163" s="140"/>
      <c r="K163" s="141"/>
      <c r="L163" s="146"/>
      <c r="M163" s="147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20.100000000000001" customHeight="1" x14ac:dyDescent="0.15">
      <c r="A164" s="1"/>
      <c r="B164" s="123"/>
      <c r="C164" s="136"/>
      <c r="D164" s="137"/>
      <c r="E164" s="142" t="s">
        <v>147</v>
      </c>
      <c r="F164" s="135"/>
      <c r="G164" s="142" t="s">
        <v>147</v>
      </c>
      <c r="H164" s="135"/>
      <c r="I164" s="45" t="s">
        <v>148</v>
      </c>
      <c r="J164" s="142" t="s">
        <v>148</v>
      </c>
      <c r="K164" s="143"/>
      <c r="L164" s="142"/>
      <c r="M164" s="143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20.100000000000001" customHeight="1" x14ac:dyDescent="0.15">
      <c r="A165" s="1"/>
      <c r="B165" s="128" t="s">
        <v>149</v>
      </c>
      <c r="C165" s="128">
        <v>1</v>
      </c>
      <c r="D165" s="128"/>
      <c r="E165" s="134">
        <f>环适复测!K2</f>
        <v>100</v>
      </c>
      <c r="F165" s="134"/>
      <c r="G165" s="133">
        <f>环适复测!H2</f>
        <v>98.955280000000002</v>
      </c>
      <c r="H165" s="133"/>
      <c r="I165" s="48">
        <f t="shared" ref="I165:I170" si="4">(E165-G165)/G165*100</f>
        <v>1.055749627508505</v>
      </c>
      <c r="J165" s="127">
        <f>AVERAGE(I165:I166)</f>
        <v>1.0895953037094617</v>
      </c>
      <c r="K165" s="127"/>
      <c r="L165" s="148" t="s">
        <v>159</v>
      </c>
      <c r="M165" s="128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20.100000000000001" customHeight="1" x14ac:dyDescent="0.15">
      <c r="A166" s="1"/>
      <c r="B166" s="128"/>
      <c r="C166" s="128">
        <v>2</v>
      </c>
      <c r="D166" s="128"/>
      <c r="E166" s="134">
        <f>环适复测!K5</f>
        <v>100</v>
      </c>
      <c r="F166" s="134"/>
      <c r="G166" s="133">
        <f>环适复测!H5</f>
        <v>98.889039999999994</v>
      </c>
      <c r="H166" s="133"/>
      <c r="I166" s="48">
        <f t="shared" si="4"/>
        <v>1.1234409799104186</v>
      </c>
      <c r="J166" s="127"/>
      <c r="K166" s="127"/>
      <c r="L166" s="128"/>
      <c r="M166" s="128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20.100000000000001" customHeight="1" x14ac:dyDescent="0.15">
      <c r="A167" s="1"/>
      <c r="B167" s="128" t="s">
        <v>157</v>
      </c>
      <c r="C167" s="128">
        <v>1</v>
      </c>
      <c r="D167" s="128"/>
      <c r="E167" s="134">
        <f>环适复测!K3</f>
        <v>20</v>
      </c>
      <c r="F167" s="134"/>
      <c r="G167" s="133">
        <f>环适复测!H3</f>
        <v>19.960049999999999</v>
      </c>
      <c r="H167" s="133"/>
      <c r="I167" s="48">
        <f t="shared" si="4"/>
        <v>0.20014979922395507</v>
      </c>
      <c r="J167" s="127">
        <f>AVERAGE(I167:I168)</f>
        <v>0.18135682016904259</v>
      </c>
      <c r="K167" s="127"/>
      <c r="L167" s="128"/>
      <c r="M167" s="128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20.100000000000001" customHeight="1" x14ac:dyDescent="0.15">
      <c r="A168" s="1"/>
      <c r="B168" s="128"/>
      <c r="C168" s="128">
        <v>2</v>
      </c>
      <c r="D168" s="128"/>
      <c r="E168" s="134">
        <f>环适复测!K6</f>
        <v>20</v>
      </c>
      <c r="F168" s="134"/>
      <c r="G168" s="133">
        <f>环适复测!H6</f>
        <v>19.96754</v>
      </c>
      <c r="H168" s="133"/>
      <c r="I168" s="48">
        <f t="shared" si="4"/>
        <v>0.16256384111413014</v>
      </c>
      <c r="J168" s="127"/>
      <c r="K168" s="127"/>
      <c r="L168" s="128"/>
      <c r="M168" s="128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20.100000000000001" customHeight="1" x14ac:dyDescent="0.15">
      <c r="A169" s="1"/>
      <c r="B169" s="128" t="s">
        <v>158</v>
      </c>
      <c r="C169" s="128">
        <v>1</v>
      </c>
      <c r="D169" s="128"/>
      <c r="E169" s="134">
        <f>环适复测!K4</f>
        <v>10</v>
      </c>
      <c r="F169" s="134"/>
      <c r="G169" s="133">
        <f>环适复测!H4</f>
        <v>10.02055</v>
      </c>
      <c r="H169" s="133"/>
      <c r="I169" s="48">
        <f t="shared" si="4"/>
        <v>-0.20507856355190152</v>
      </c>
      <c r="J169" s="127">
        <f>AVERAGE(I169:I170)</f>
        <v>-0.29449946722124137</v>
      </c>
      <c r="K169" s="127"/>
      <c r="L169" s="128"/>
      <c r="M169" s="128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20.100000000000001" customHeight="1" x14ac:dyDescent="0.15">
      <c r="A170" s="1"/>
      <c r="B170" s="128"/>
      <c r="C170" s="128">
        <v>2</v>
      </c>
      <c r="D170" s="128"/>
      <c r="E170" s="134">
        <f>环适复测!K7</f>
        <v>10</v>
      </c>
      <c r="F170" s="134"/>
      <c r="G170" s="133">
        <f>环适复测!H7</f>
        <v>10.038539999999999</v>
      </c>
      <c r="H170" s="133"/>
      <c r="I170" s="48">
        <f t="shared" si="4"/>
        <v>-0.38392037089058123</v>
      </c>
      <c r="J170" s="127"/>
      <c r="K170" s="127"/>
      <c r="L170" s="128"/>
      <c r="M170" s="128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20.100000000000001" customHeight="1" x14ac:dyDescent="0.15">
      <c r="A171" s="1"/>
      <c r="B171" s="130"/>
      <c r="C171" s="130"/>
      <c r="D171" s="130"/>
      <c r="E171" s="131"/>
      <c r="F171" s="131"/>
      <c r="G171" s="129"/>
      <c r="H171" s="129"/>
      <c r="I171" s="64"/>
      <c r="J171" s="132"/>
      <c r="K171" s="132"/>
      <c r="L171" s="130"/>
      <c r="M171" s="130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20.100000000000001" customHeight="1" x14ac:dyDescent="0.15">
      <c r="A172" s="1"/>
      <c r="B172" s="130"/>
      <c r="C172" s="130"/>
      <c r="D172" s="130"/>
      <c r="E172" s="131"/>
      <c r="F172" s="131"/>
      <c r="G172" s="129"/>
      <c r="H172" s="129"/>
      <c r="I172" s="64"/>
      <c r="J172" s="132"/>
      <c r="K172" s="132"/>
      <c r="L172" s="130"/>
      <c r="M172" s="130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20.100000000000001" customHeight="1" x14ac:dyDescent="0.15">
      <c r="A173" s="1"/>
      <c r="B173" s="130"/>
      <c r="C173" s="130"/>
      <c r="D173" s="130"/>
      <c r="E173" s="131"/>
      <c r="F173" s="131"/>
      <c r="G173" s="129"/>
      <c r="H173" s="129"/>
      <c r="I173" s="64"/>
      <c r="J173" s="132"/>
      <c r="K173" s="132"/>
      <c r="L173" s="130"/>
      <c r="M173" s="130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20.100000000000001" customHeight="1" x14ac:dyDescent="0.15">
      <c r="A174" s="1"/>
      <c r="B174" s="130"/>
      <c r="C174" s="130"/>
      <c r="D174" s="130"/>
      <c r="E174" s="131"/>
      <c r="F174" s="131"/>
      <c r="G174" s="129"/>
      <c r="H174" s="129"/>
      <c r="I174" s="64"/>
      <c r="J174" s="132"/>
      <c r="K174" s="132"/>
      <c r="L174" s="130"/>
      <c r="M174" s="130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20.100000000000001" customHeight="1" x14ac:dyDescent="0.15">
      <c r="A175" s="1"/>
      <c r="B175" s="130"/>
      <c r="C175" s="130"/>
      <c r="D175" s="130"/>
      <c r="E175" s="131"/>
      <c r="F175" s="131"/>
      <c r="G175" s="129"/>
      <c r="H175" s="129"/>
      <c r="I175" s="64"/>
      <c r="J175" s="132"/>
      <c r="K175" s="132"/>
      <c r="L175" s="130"/>
      <c r="M175" s="130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20.100000000000001" customHeight="1" x14ac:dyDescent="0.15">
      <c r="A176" s="1"/>
      <c r="B176" s="130"/>
      <c r="C176" s="130"/>
      <c r="D176" s="130"/>
      <c r="E176" s="131"/>
      <c r="F176" s="131"/>
      <c r="G176" s="129"/>
      <c r="H176" s="129"/>
      <c r="I176" s="64"/>
      <c r="J176" s="132"/>
      <c r="K176" s="132"/>
      <c r="L176" s="130"/>
      <c r="M176" s="130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20.100000000000001" customHeight="1" x14ac:dyDescent="0.15">
      <c r="A177" s="1"/>
      <c r="B177" s="130"/>
      <c r="C177" s="130"/>
      <c r="D177" s="130"/>
      <c r="E177" s="131"/>
      <c r="F177" s="131"/>
      <c r="G177" s="129"/>
      <c r="H177" s="129"/>
      <c r="I177" s="64"/>
      <c r="J177" s="132"/>
      <c r="K177" s="132"/>
      <c r="L177" s="130"/>
      <c r="M177" s="130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20.100000000000001" customHeight="1" x14ac:dyDescent="0.15">
      <c r="A178" s="1"/>
      <c r="B178" s="130"/>
      <c r="C178" s="130"/>
      <c r="D178" s="130"/>
      <c r="E178" s="131"/>
      <c r="F178" s="131"/>
      <c r="G178" s="129"/>
      <c r="H178" s="129"/>
      <c r="I178" s="64"/>
      <c r="J178" s="132"/>
      <c r="K178" s="132"/>
      <c r="L178" s="130"/>
      <c r="M178" s="130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20.100000000000001" customHeight="1" x14ac:dyDescent="0.15">
      <c r="A179" s="1"/>
      <c r="B179" s="130"/>
      <c r="C179" s="130"/>
      <c r="D179" s="130"/>
      <c r="E179" s="131"/>
      <c r="F179" s="131"/>
      <c r="G179" s="129"/>
      <c r="H179" s="129"/>
      <c r="I179" s="64"/>
      <c r="J179" s="132"/>
      <c r="K179" s="132"/>
      <c r="L179" s="130"/>
      <c r="M179" s="130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20.100000000000001" customHeight="1" x14ac:dyDescent="0.15">
      <c r="A180" s="1"/>
      <c r="B180" s="130"/>
      <c r="C180" s="130"/>
      <c r="D180" s="130"/>
      <c r="E180" s="131"/>
      <c r="F180" s="131"/>
      <c r="G180" s="129"/>
      <c r="H180" s="129"/>
      <c r="I180" s="64"/>
      <c r="J180" s="132"/>
      <c r="K180" s="132"/>
      <c r="L180" s="130"/>
      <c r="M180" s="130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20.100000000000001" customHeight="1" x14ac:dyDescent="0.15">
      <c r="A181" s="1"/>
      <c r="B181" s="130"/>
      <c r="C181" s="130"/>
      <c r="D181" s="130"/>
      <c r="E181" s="131"/>
      <c r="F181" s="131"/>
      <c r="G181" s="129"/>
      <c r="H181" s="129"/>
      <c r="I181" s="64"/>
      <c r="J181" s="132"/>
      <c r="K181" s="132"/>
      <c r="L181" s="130"/>
      <c r="M181" s="130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20.100000000000001" customHeight="1" x14ac:dyDescent="0.15">
      <c r="A182" s="1"/>
      <c r="B182" s="130"/>
      <c r="C182" s="130"/>
      <c r="D182" s="130"/>
      <c r="E182" s="131"/>
      <c r="F182" s="131"/>
      <c r="G182" s="129"/>
      <c r="H182" s="129"/>
      <c r="I182" s="64"/>
      <c r="J182" s="132"/>
      <c r="K182" s="132"/>
      <c r="L182" s="130"/>
      <c r="M182" s="130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20.100000000000001" customHeight="1" x14ac:dyDescent="0.15">
      <c r="A183" s="1"/>
      <c r="B183" s="130"/>
      <c r="C183" s="130"/>
      <c r="D183" s="130"/>
      <c r="E183" s="131"/>
      <c r="F183" s="131"/>
      <c r="G183" s="129"/>
      <c r="H183" s="129"/>
      <c r="I183" s="64"/>
      <c r="J183" s="132"/>
      <c r="K183" s="132"/>
      <c r="L183" s="130"/>
      <c r="M183" s="130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20.100000000000001" customHeight="1" x14ac:dyDescent="0.15">
      <c r="A184" s="1"/>
      <c r="B184" s="130"/>
      <c r="C184" s="130"/>
      <c r="D184" s="130"/>
      <c r="E184" s="131"/>
      <c r="F184" s="131"/>
      <c r="G184" s="129"/>
      <c r="H184" s="129"/>
      <c r="I184" s="64"/>
      <c r="J184" s="132"/>
      <c r="K184" s="132"/>
      <c r="L184" s="130"/>
      <c r="M184" s="130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20.100000000000001" customHeight="1" x14ac:dyDescent="0.15">
      <c r="A185" s="1"/>
      <c r="B185" s="130"/>
      <c r="C185" s="130"/>
      <c r="D185" s="130"/>
      <c r="E185" s="131"/>
      <c r="F185" s="131"/>
      <c r="G185" s="129"/>
      <c r="H185" s="129"/>
      <c r="I185" s="64"/>
      <c r="J185" s="132"/>
      <c r="K185" s="132"/>
      <c r="L185" s="130"/>
      <c r="M185" s="130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20.100000000000001" customHeight="1" x14ac:dyDescent="0.15">
      <c r="A186" s="1"/>
      <c r="B186" s="130"/>
      <c r="C186" s="130"/>
      <c r="D186" s="130"/>
      <c r="E186" s="131"/>
      <c r="F186" s="131"/>
      <c r="G186" s="129"/>
      <c r="H186" s="129"/>
      <c r="I186" s="64"/>
      <c r="J186" s="132"/>
      <c r="K186" s="132"/>
      <c r="L186" s="130"/>
      <c r="M186" s="130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20.100000000000001" customHeight="1" x14ac:dyDescent="0.15">
      <c r="A187" s="1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20.100000000000001" customHeight="1" x14ac:dyDescent="0.2">
      <c r="A188" s="1"/>
      <c r="B188" s="98" t="s">
        <v>49</v>
      </c>
      <c r="C188" s="99"/>
      <c r="D188" s="44"/>
      <c r="E188" s="44"/>
      <c r="F188" s="44"/>
      <c r="G188" s="100" t="s">
        <v>50</v>
      </c>
      <c r="H188" s="101"/>
      <c r="I188" s="44"/>
      <c r="J188" s="43" t="inlineStr">
        <is>
          <t>测量日期：</t>
        </is>
      </c>
      <c r="K188" s="101" t="inlineStr">
        <is>
          <t>2025.11.27 09:00～2025.11.27 16:00</t>
        </is>
      </c>
      <c r="L188" s="101"/>
      <c r="M188" s="10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20.100000000000001" customHeight="1" x14ac:dyDescent="0.15">
      <c r="A189" s="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" x14ac:dyDescent="0.15">
      <c r="A190" s="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102" t="s">
        <v>57</v>
      </c>
      <c r="M190" s="10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x14ac:dyDescent="0.15">
      <c r="A195" s="1"/>
      <c r="B195" s="103" t="s">
        <v>66</v>
      </c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20.25" x14ac:dyDescent="0.15">
      <c r="A196" s="1"/>
      <c r="B196" s="104" t="s">
        <v>54</v>
      </c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20.25" x14ac:dyDescent="0.15">
      <c r="A197" s="1"/>
      <c r="B197" s="105" t="s">
        <v>67</v>
      </c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8" x14ac:dyDescent="0.25">
      <c r="A198" s="1"/>
      <c r="B198" s="16"/>
      <c r="C198" s="16"/>
      <c r="D198" s="16"/>
      <c r="E198" s="16"/>
      <c r="F198" s="16"/>
      <c r="G198" s="16"/>
      <c r="H198" s="16"/>
      <c r="I198" s="107" t="s">
        <v>22</v>
      </c>
      <c r="J198" s="107"/>
      <c r="K198" s="108" t="str">
        <f>K4</f>
        <v>2026E70-40-000007</v>
      </c>
      <c r="L198" s="108"/>
      <c r="M198" s="108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20.100000000000001" customHeight="1" x14ac:dyDescent="0.2">
      <c r="A199" s="1"/>
      <c r="B199" s="12" t="s">
        <v>23</v>
      </c>
      <c r="C199" s="110" t="str">
        <f>C5</f>
        <v>上海真兰仪表科技股份有限公司</v>
      </c>
      <c r="D199" s="110"/>
      <c r="E199" s="110"/>
      <c r="F199" s="110"/>
      <c r="G199" s="110"/>
      <c r="H199" s="110"/>
      <c r="I199" s="107" t="s">
        <v>137</v>
      </c>
      <c r="J199" s="107"/>
      <c r="K199" s="108" t="str">
        <f>K5</f>
        <v>超声波燃气表</v>
      </c>
      <c r="L199" s="108"/>
      <c r="M199" s="108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20.100000000000001" customHeight="1" x14ac:dyDescent="0.2">
      <c r="A200" s="1"/>
      <c r="B200" s="12" t="s">
        <v>25</v>
      </c>
      <c r="C200" s="110" t="str">
        <f>C6</f>
        <v>上海真兰仪表科技股份有限公司</v>
      </c>
      <c r="D200" s="110"/>
      <c r="E200" s="110"/>
      <c r="F200" s="110"/>
      <c r="G200" s="110"/>
      <c r="H200" s="110"/>
      <c r="I200" s="107" t="s">
        <v>132</v>
      </c>
      <c r="J200" s="107"/>
      <c r="K200" s="108" t="str">
        <f>K6</f>
        <v>UWG4A LP Z2-NB</v>
      </c>
      <c r="L200" s="108"/>
      <c r="M200" s="108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20.100000000000001" customHeight="1" x14ac:dyDescent="0.2">
      <c r="A201" s="1"/>
      <c r="B201" s="13" t="s">
        <v>35</v>
      </c>
      <c r="C201" s="112" t="str">
        <f>C7</f>
        <v>2582928138</v>
      </c>
      <c r="D201" s="112"/>
      <c r="E201" s="112"/>
      <c r="F201" s="112"/>
      <c r="G201" s="114" t="s">
        <v>133</v>
      </c>
      <c r="H201" s="114"/>
      <c r="I201" s="50" t="s">
        <v>134</v>
      </c>
      <c r="J201" s="54" t="s">
        <v>135</v>
      </c>
      <c r="K201" s="51" t="s">
        <v>37</v>
      </c>
      <c r="L201" s="52" t="s">
        <v>38</v>
      </c>
      <c r="M201" s="51" t="s">
        <v>162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20.100000000000001" customHeight="1" x14ac:dyDescent="0.2">
      <c r="A202" s="1"/>
      <c r="B202" s="18" t="s">
        <v>40</v>
      </c>
      <c r="C202" s="112" t="str">
        <f>C8</f>
        <v>(100~101)kPa</v>
      </c>
      <c r="D202" s="112"/>
      <c r="E202" s="112"/>
      <c r="F202" s="112"/>
      <c r="G202" s="117" t="s">
        <v>136</v>
      </c>
      <c r="H202" s="117"/>
      <c r="I202" s="108" t="str">
        <f>I8</f>
        <v>(0.016~6)m³/h</v>
      </c>
      <c r="J202" s="108"/>
      <c r="K202" s="54"/>
      <c r="L202" s="101"/>
      <c r="M202" s="10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20.100000000000001" customHeight="1" x14ac:dyDescent="0.2">
      <c r="A203" s="1"/>
      <c r="B203" s="18" t="s">
        <v>44</v>
      </c>
      <c r="C203" s="108" t="s">
        <v>45</v>
      </c>
      <c r="D203" s="108"/>
      <c r="E203" s="108"/>
      <c r="F203" s="108"/>
      <c r="G203" s="108"/>
      <c r="H203" s="108"/>
      <c r="I203" s="18" t="s">
        <v>46</v>
      </c>
      <c r="J203" s="108" t="s">
        <v>189</v>
      </c>
      <c r="K203" s="108"/>
      <c r="L203" s="43"/>
      <c r="M203" s="53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20.100000000000001" customHeight="1" x14ac:dyDescent="0.2">
      <c r="A204" s="1"/>
      <c r="B204" s="12" t="s">
        <v>64</v>
      </c>
      <c r="C204" s="12" t="s">
        <v>138</v>
      </c>
      <c r="D204" s="144">
        <v>2816</v>
      </c>
      <c r="E204" s="144"/>
      <c r="F204" s="12"/>
      <c r="G204" s="12"/>
      <c r="H204" s="12"/>
      <c r="I204" s="12"/>
      <c r="J204" s="12"/>
      <c r="K204" s="12"/>
      <c r="L204" s="12"/>
      <c r="M204" s="1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20.100000000000001" customHeight="1" x14ac:dyDescent="0.15">
      <c r="A205" s="1"/>
      <c r="B205" s="11" t="s">
        <v>48</v>
      </c>
      <c r="C205" s="135" t="s">
        <v>76</v>
      </c>
      <c r="D205" s="135"/>
      <c r="E205" s="47">
        <f>E12</f>
        <v>6</v>
      </c>
      <c r="F205" s="26" t="s">
        <v>77</v>
      </c>
      <c r="G205" s="135" t="s">
        <v>78</v>
      </c>
      <c r="H205" s="135"/>
      <c r="I205" s="47">
        <f>I12</f>
        <v>1.6E-2</v>
      </c>
      <c r="J205" s="26" t="s">
        <v>77</v>
      </c>
      <c r="K205" s="47" t="s">
        <v>94</v>
      </c>
      <c r="L205" s="47">
        <f>L12</f>
        <v>0.25</v>
      </c>
      <c r="M205" s="26" t="s">
        <v>77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20.100000000000001" customHeight="1" x14ac:dyDescent="0.15">
      <c r="A206" s="1"/>
      <c r="B206" s="124" t="s">
        <v>140</v>
      </c>
      <c r="C206" s="128" t="s">
        <v>141</v>
      </c>
      <c r="D206" s="128"/>
      <c r="E206" s="138" t="s">
        <v>142</v>
      </c>
      <c r="F206" s="139"/>
      <c r="G206" s="138" t="s">
        <v>143</v>
      </c>
      <c r="H206" s="139"/>
      <c r="I206" s="124" t="s">
        <v>144</v>
      </c>
      <c r="J206" s="138" t="s">
        <v>145</v>
      </c>
      <c r="K206" s="139"/>
      <c r="L206" s="125" t="s">
        <v>166</v>
      </c>
      <c r="M206" s="118" t="s">
        <v>163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20.100000000000001" customHeight="1" x14ac:dyDescent="0.15">
      <c r="A207" s="1"/>
      <c r="B207" s="122"/>
      <c r="C207" s="128"/>
      <c r="D207" s="128"/>
      <c r="E207" s="140"/>
      <c r="F207" s="141"/>
      <c r="G207" s="140"/>
      <c r="H207" s="141"/>
      <c r="I207" s="122"/>
      <c r="J207" s="140"/>
      <c r="K207" s="141"/>
      <c r="L207" s="126"/>
      <c r="M207" s="119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20.100000000000001" customHeight="1" x14ac:dyDescent="0.15">
      <c r="A208" s="1"/>
      <c r="B208" s="122"/>
      <c r="C208" s="136"/>
      <c r="D208" s="137"/>
      <c r="E208" s="140"/>
      <c r="F208" s="141"/>
      <c r="G208" s="140"/>
      <c r="H208" s="141"/>
      <c r="I208" s="122"/>
      <c r="J208" s="140"/>
      <c r="K208" s="141"/>
      <c r="L208" s="126"/>
      <c r="M208" s="119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20.100000000000001" customHeight="1" x14ac:dyDescent="0.15">
      <c r="A209" s="1"/>
      <c r="B209" s="123"/>
      <c r="C209" s="136"/>
      <c r="D209" s="137"/>
      <c r="E209" s="142" t="s">
        <v>147</v>
      </c>
      <c r="F209" s="135"/>
      <c r="G209" s="142" t="s">
        <v>147</v>
      </c>
      <c r="H209" s="135"/>
      <c r="I209" s="45" t="s">
        <v>148</v>
      </c>
      <c r="J209" s="142" t="s">
        <v>164</v>
      </c>
      <c r="K209" s="143"/>
      <c r="L209" s="46" t="s">
        <v>165</v>
      </c>
      <c r="M209" s="120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20.100000000000001" customHeight="1" x14ac:dyDescent="0.15">
      <c r="A210" s="1"/>
      <c r="B210" s="128" t="s">
        <v>149</v>
      </c>
      <c r="C210" s="128">
        <v>1</v>
      </c>
      <c r="D210" s="128"/>
      <c r="E210" s="134">
        <f>流体扰动!K2</f>
        <v>100</v>
      </c>
      <c r="F210" s="134"/>
      <c r="G210" s="133">
        <f>流体扰动!H2</f>
        <v>98.773560000000003</v>
      </c>
      <c r="H210" s="133"/>
      <c r="I210" s="48">
        <f t="shared" ref="I210:I215" si="5">(E210-G210)/G210*100</f>
        <v>1.2416683169058569</v>
      </c>
      <c r="J210" s="127">
        <f>AVERAGE(I210:I211)</f>
        <v>1.1457016393042585</v>
      </c>
      <c r="K210" s="127"/>
      <c r="L210" s="128" t="s">
        <v>168</v>
      </c>
      <c r="M210" s="121" t="s">
        <v>183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20.100000000000001" customHeight="1" x14ac:dyDescent="0.15">
      <c r="A211" s="1"/>
      <c r="B211" s="128"/>
      <c r="C211" s="128">
        <v>2</v>
      </c>
      <c r="D211" s="128"/>
      <c r="E211" s="134">
        <f>流体扰动!K5</f>
        <v>100</v>
      </c>
      <c r="F211" s="134"/>
      <c r="G211" s="133">
        <f>流体扰动!H5</f>
        <v>98.961169999999996</v>
      </c>
      <c r="H211" s="133"/>
      <c r="I211" s="48">
        <f t="shared" si="5"/>
        <v>1.0497349617026601</v>
      </c>
      <c r="J211" s="127"/>
      <c r="K211" s="127"/>
      <c r="L211" s="128"/>
      <c r="M211" s="12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20.100000000000001" customHeight="1" x14ac:dyDescent="0.15">
      <c r="A212" s="1"/>
      <c r="B212" s="128" t="s">
        <v>160</v>
      </c>
      <c r="C212" s="128">
        <v>1</v>
      </c>
      <c r="D212" s="128"/>
      <c r="E212" s="134">
        <f>流体扰动!K3</f>
        <v>40</v>
      </c>
      <c r="F212" s="134"/>
      <c r="G212" s="133">
        <f>流体扰动!H3</f>
        <v>39.86956</v>
      </c>
      <c r="H212" s="133"/>
      <c r="I212" s="48">
        <f t="shared" si="5"/>
        <v>0.32716689123230885</v>
      </c>
      <c r="J212" s="127">
        <f>AVERAGE(I212:I213)</f>
        <v>0.35413186268154218</v>
      </c>
      <c r="K212" s="127"/>
      <c r="L212" s="128" t="s">
        <v>167</v>
      </c>
      <c r="M212" s="12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20.100000000000001" customHeight="1" x14ac:dyDescent="0.15">
      <c r="A213" s="1"/>
      <c r="B213" s="128"/>
      <c r="C213" s="128">
        <v>2</v>
      </c>
      <c r="D213" s="128"/>
      <c r="E213" s="134">
        <f>流体扰动!K6</f>
        <v>40</v>
      </c>
      <c r="F213" s="134"/>
      <c r="G213" s="133">
        <f>流体扰动!H6</f>
        <v>39.848140000000001</v>
      </c>
      <c r="H213" s="133"/>
      <c r="I213" s="48">
        <f t="shared" si="5"/>
        <v>0.3810968341307755</v>
      </c>
      <c r="J213" s="127"/>
      <c r="K213" s="127"/>
      <c r="L213" s="128"/>
      <c r="M213" s="12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20.100000000000001" customHeight="1" x14ac:dyDescent="0.15">
      <c r="A214" s="1"/>
      <c r="B214" s="128" t="s">
        <v>161</v>
      </c>
      <c r="C214" s="128">
        <v>1</v>
      </c>
      <c r="D214" s="128"/>
      <c r="E214" s="134">
        <f>流体扰动!K4</f>
        <v>40</v>
      </c>
      <c r="F214" s="134"/>
      <c r="G214" s="133">
        <f>流体扰动!H4</f>
        <v>40.018889999999999</v>
      </c>
      <c r="H214" s="133"/>
      <c r="I214" s="48">
        <f t="shared" si="5"/>
        <v>-4.7202708520898418E-2</v>
      </c>
      <c r="J214" s="127">
        <f>AVERAGE(I214:I215)</f>
        <v>-7.3376753075526671E-2</v>
      </c>
      <c r="K214" s="127"/>
      <c r="L214" s="128" t="s">
        <v>167</v>
      </c>
      <c r="M214" s="12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20.100000000000001" customHeight="1" x14ac:dyDescent="0.15">
      <c r="A215" s="1"/>
      <c r="B215" s="128"/>
      <c r="C215" s="128">
        <v>2</v>
      </c>
      <c r="D215" s="128"/>
      <c r="E215" s="134">
        <f>流体扰动!K7</f>
        <v>40</v>
      </c>
      <c r="F215" s="134"/>
      <c r="G215" s="133">
        <f>流体扰动!H7</f>
        <v>40.039859999999997</v>
      </c>
      <c r="H215" s="133"/>
      <c r="I215" s="48">
        <f t="shared" si="5"/>
        <v>-9.9550797630154925E-2</v>
      </c>
      <c r="J215" s="127"/>
      <c r="K215" s="127"/>
      <c r="L215" s="128"/>
      <c r="M215" s="123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20.100000000000001" customHeight="1" x14ac:dyDescent="0.15">
      <c r="B216" s="128" t="s">
        <v>149</v>
      </c>
      <c r="C216" s="128">
        <v>1</v>
      </c>
      <c r="D216" s="128"/>
      <c r="E216" s="134">
        <f>流体扰动!K9</f>
        <v>100</v>
      </c>
      <c r="F216" s="134"/>
      <c r="G216" s="133">
        <f>流体扰动!H9</f>
        <v>99.126599999999996</v>
      </c>
      <c r="H216" s="133"/>
      <c r="I216" s="48">
        <f t="shared" ref="I216:I221" si="6">(E216-G216)/G216*100</f>
        <v>0.88109548799212711</v>
      </c>
      <c r="J216" s="127">
        <f>AVERAGE(I216:I217)</f>
        <v>0.81985353731395239</v>
      </c>
      <c r="K216" s="127"/>
      <c r="L216" s="127">
        <f>ABS(J216-J210)</f>
        <v>0.32584810199030612</v>
      </c>
      <c r="M216" s="124" t="s">
        <v>184</v>
      </c>
    </row>
    <row r="217" spans="1:31" ht="20.100000000000001" customHeight="1" x14ac:dyDescent="0.15">
      <c r="B217" s="128"/>
      <c r="C217" s="128">
        <v>2</v>
      </c>
      <c r="D217" s="128"/>
      <c r="E217" s="134">
        <f>流体扰动!K12</f>
        <v>100</v>
      </c>
      <c r="F217" s="134"/>
      <c r="G217" s="133">
        <f>流体扰动!H12</f>
        <v>99.247100000000003</v>
      </c>
      <c r="H217" s="133"/>
      <c r="I217" s="48">
        <f t="shared" si="6"/>
        <v>0.75861158663577755</v>
      </c>
      <c r="J217" s="127"/>
      <c r="K217" s="127"/>
      <c r="L217" s="128"/>
      <c r="M217" s="122"/>
    </row>
    <row r="218" spans="1:31" ht="20.100000000000001" customHeight="1" x14ac:dyDescent="0.15">
      <c r="B218" s="128" t="s">
        <v>160</v>
      </c>
      <c r="C218" s="128">
        <v>1</v>
      </c>
      <c r="D218" s="128"/>
      <c r="E218" s="134">
        <f>流体扰动!K10</f>
        <v>40</v>
      </c>
      <c r="F218" s="134"/>
      <c r="G218" s="133">
        <f>流体扰动!H10</f>
        <v>39.976520000000001</v>
      </c>
      <c r="H218" s="133"/>
      <c r="I218" s="48">
        <f t="shared" si="6"/>
        <v>5.8734477138078243E-2</v>
      </c>
      <c r="J218" s="127">
        <f>AVERAGE(I218:I219)</f>
        <v>0.14321336851474634</v>
      </c>
      <c r="K218" s="127"/>
      <c r="L218" s="127">
        <f>ABS(J218-J212)</f>
        <v>0.21091849416679584</v>
      </c>
      <c r="M218" s="122"/>
    </row>
    <row r="219" spans="1:31" ht="20.100000000000001" customHeight="1" x14ac:dyDescent="0.15">
      <c r="B219" s="128"/>
      <c r="C219" s="128">
        <v>2</v>
      </c>
      <c r="D219" s="128"/>
      <c r="E219" s="134">
        <f>流体扰动!K13</f>
        <v>40</v>
      </c>
      <c r="F219" s="134"/>
      <c r="G219" s="133">
        <f>流体扰动!H13</f>
        <v>39.909129999999998</v>
      </c>
      <c r="H219" s="133"/>
      <c r="I219" s="48">
        <f t="shared" si="6"/>
        <v>0.22769225989141445</v>
      </c>
      <c r="J219" s="127"/>
      <c r="K219" s="127"/>
      <c r="L219" s="128"/>
      <c r="M219" s="122"/>
    </row>
    <row r="220" spans="1:31" ht="20.100000000000001" customHeight="1" x14ac:dyDescent="0.15">
      <c r="B220" s="128" t="s">
        <v>161</v>
      </c>
      <c r="C220" s="128">
        <v>1</v>
      </c>
      <c r="D220" s="128"/>
      <c r="E220" s="134">
        <f>流体扰动!K11</f>
        <v>40</v>
      </c>
      <c r="F220" s="134"/>
      <c r="G220" s="133">
        <f>流体扰动!H11</f>
        <v>40.052</v>
      </c>
      <c r="H220" s="133"/>
      <c r="I220" s="48">
        <f t="shared" si="6"/>
        <v>-0.12983121941475981</v>
      </c>
      <c r="J220" s="127">
        <f>AVERAGE(I220:I221)</f>
        <v>-0.15187660191870145</v>
      </c>
      <c r="K220" s="127"/>
      <c r="L220" s="127">
        <f>ABS(J220-J214)</f>
        <v>7.8499848843174777E-2</v>
      </c>
      <c r="M220" s="122"/>
    </row>
    <row r="221" spans="1:31" ht="19.5" customHeight="1" x14ac:dyDescent="0.15">
      <c r="B221" s="128"/>
      <c r="C221" s="128">
        <v>2</v>
      </c>
      <c r="D221" s="128"/>
      <c r="E221" s="134">
        <f>流体扰动!K14</f>
        <v>40</v>
      </c>
      <c r="F221" s="134"/>
      <c r="G221" s="133">
        <f>流体扰动!H14</f>
        <v>40.069690000000001</v>
      </c>
      <c r="H221" s="133"/>
      <c r="I221" s="48">
        <f t="shared" si="6"/>
        <v>-0.17392198442264306</v>
      </c>
      <c r="J221" s="127"/>
      <c r="K221" s="127"/>
      <c r="L221" s="128"/>
      <c r="M221" s="123"/>
    </row>
    <row r="222" spans="1:31" ht="20.100000000000001" customHeight="1" x14ac:dyDescent="0.15">
      <c r="B222" s="130"/>
      <c r="C222" s="130"/>
      <c r="D222" s="130"/>
      <c r="E222" s="131"/>
      <c r="F222" s="131"/>
      <c r="G222" s="129"/>
      <c r="H222" s="129"/>
      <c r="I222" s="64"/>
      <c r="J222" s="132"/>
      <c r="K222" s="132"/>
      <c r="L222" s="130"/>
      <c r="M222" s="130"/>
    </row>
    <row r="223" spans="1:31" ht="20.100000000000001" customHeight="1" x14ac:dyDescent="0.15">
      <c r="B223" s="130"/>
      <c r="C223" s="130"/>
      <c r="D223" s="130"/>
      <c r="E223" s="131"/>
      <c r="F223" s="131"/>
      <c r="G223" s="129"/>
      <c r="H223" s="129"/>
      <c r="I223" s="64"/>
      <c r="J223" s="132"/>
      <c r="K223" s="132"/>
      <c r="L223" s="130"/>
      <c r="M223" s="130"/>
    </row>
    <row r="224" spans="1:31" ht="20.100000000000001" customHeight="1" x14ac:dyDescent="0.15">
      <c r="B224" s="130"/>
      <c r="C224" s="130"/>
      <c r="D224" s="130"/>
      <c r="E224" s="131"/>
      <c r="F224" s="131"/>
      <c r="G224" s="129"/>
      <c r="H224" s="129"/>
      <c r="I224" s="64"/>
      <c r="J224" s="132"/>
      <c r="K224" s="132"/>
      <c r="L224" s="130"/>
      <c r="M224" s="130"/>
    </row>
    <row r="225" spans="2:13" ht="20.100000000000001" customHeight="1" x14ac:dyDescent="0.15">
      <c r="B225" s="130"/>
      <c r="C225" s="130"/>
      <c r="D225" s="130"/>
      <c r="E225" s="131"/>
      <c r="F225" s="131"/>
      <c r="G225" s="129"/>
      <c r="H225" s="129"/>
      <c r="I225" s="64"/>
      <c r="J225" s="132"/>
      <c r="K225" s="132"/>
      <c r="L225" s="130"/>
      <c r="M225" s="130"/>
    </row>
    <row r="226" spans="2:13" ht="20.100000000000001" customHeight="1" x14ac:dyDescent="0.15">
      <c r="B226" s="130"/>
      <c r="C226" s="130"/>
      <c r="D226" s="130"/>
      <c r="E226" s="131"/>
      <c r="F226" s="131"/>
      <c r="G226" s="129"/>
      <c r="H226" s="129"/>
      <c r="I226" s="64"/>
      <c r="J226" s="132"/>
      <c r="K226" s="132"/>
      <c r="L226" s="130"/>
      <c r="M226" s="130"/>
    </row>
    <row r="227" spans="2:13" ht="20.100000000000001" customHeight="1" x14ac:dyDescent="0.15">
      <c r="B227" s="130"/>
      <c r="C227" s="130"/>
      <c r="D227" s="130"/>
      <c r="E227" s="131"/>
      <c r="F227" s="131"/>
      <c r="G227" s="129"/>
      <c r="H227" s="129"/>
      <c r="I227" s="64"/>
      <c r="J227" s="132"/>
      <c r="K227" s="132"/>
      <c r="L227" s="130"/>
      <c r="M227" s="130"/>
    </row>
    <row r="228" spans="2:13" ht="20.100000000000001" customHeight="1" x14ac:dyDescent="0.15">
      <c r="B228" s="130"/>
      <c r="C228" s="130"/>
      <c r="D228" s="130"/>
      <c r="E228" s="131"/>
      <c r="F228" s="131"/>
      <c r="G228" s="129"/>
      <c r="H228" s="129"/>
      <c r="I228" s="64"/>
      <c r="J228" s="132"/>
      <c r="K228" s="132"/>
      <c r="L228" s="130"/>
      <c r="M228" s="130"/>
    </row>
    <row r="229" spans="2:13" ht="20.100000000000001" customHeight="1" x14ac:dyDescent="0.15">
      <c r="B229" s="130"/>
      <c r="C229" s="49"/>
      <c r="D229" s="49"/>
      <c r="E229" s="67"/>
      <c r="F229" s="67"/>
      <c r="G229" s="68"/>
      <c r="H229" s="68"/>
      <c r="I229" s="64"/>
      <c r="J229" s="132"/>
      <c r="K229" s="132"/>
      <c r="L229" s="130"/>
      <c r="M229" s="130"/>
    </row>
    <row r="230" spans="2:13" ht="20.100000000000001" customHeight="1" x14ac:dyDescent="0.15">
      <c r="B230" s="130"/>
      <c r="C230" s="130"/>
      <c r="D230" s="130"/>
      <c r="E230" s="131"/>
      <c r="F230" s="131"/>
      <c r="G230" s="129"/>
      <c r="H230" s="129"/>
      <c r="I230" s="64"/>
      <c r="J230" s="132"/>
      <c r="K230" s="132"/>
      <c r="L230" s="130"/>
      <c r="M230" s="130"/>
    </row>
    <row r="231" spans="2:13" ht="20.100000000000001" customHeight="1" x14ac:dyDescent="0.15">
      <c r="B231" s="49"/>
      <c r="C231" s="49"/>
      <c r="D231" s="49"/>
      <c r="E231" s="67"/>
      <c r="F231" s="67"/>
      <c r="G231" s="68"/>
      <c r="H231" s="68"/>
      <c r="I231" s="64"/>
      <c r="J231" s="64"/>
      <c r="K231" s="64"/>
      <c r="L231" s="130"/>
      <c r="M231" s="130"/>
    </row>
    <row r="232" spans="2:13" ht="20.100000000000001" customHeight="1" x14ac:dyDescent="0.15">
      <c r="B232" s="49"/>
      <c r="C232" s="130"/>
      <c r="D232" s="130"/>
      <c r="E232" s="131"/>
      <c r="F232" s="131"/>
      <c r="G232" s="129"/>
      <c r="H232" s="129"/>
      <c r="I232" s="64"/>
      <c r="J232" s="132"/>
      <c r="K232" s="132"/>
      <c r="L232" s="130"/>
      <c r="M232" s="130"/>
    </row>
    <row r="233" spans="2:13" ht="20.100000000000001" customHeight="1" x14ac:dyDescent="0.15"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</row>
    <row r="234" spans="2:13" ht="20.100000000000001" customHeight="1" x14ac:dyDescent="0.2">
      <c r="B234" s="98" t="s">
        <v>49</v>
      </c>
      <c r="C234" s="99"/>
      <c r="D234" s="44"/>
      <c r="E234" s="44"/>
      <c r="F234" s="44"/>
      <c r="G234" s="100" t="s">
        <v>50</v>
      </c>
      <c r="H234" s="101"/>
      <c r="I234" s="44"/>
      <c r="J234" s="43" t="inlineStr">
        <is>
          <t>测量日期：</t>
        </is>
      </c>
      <c r="K234" s="101" t="inlineStr">
        <is>
          <t>2025.11.28 09:00～2025.11.28 16:00</t>
        </is>
      </c>
      <c r="L234" s="101"/>
      <c r="M234" s="101"/>
    </row>
    <row r="235" spans="2:13" ht="20.100000000000001" customHeight="1" x14ac:dyDescent="0.15"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</row>
    <row r="236" spans="2:13" ht="15" x14ac:dyDescent="0.15"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102" t="s">
        <v>57</v>
      </c>
      <c r="M236" s="102"/>
    </row>
    <row r="240" spans="2:13" x14ac:dyDescent="0.15">
      <c r="B240" s="103" t="s">
        <v>66</v>
      </c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</row>
    <row r="241" spans="2:13" ht="20.25" x14ac:dyDescent="0.15">
      <c r="B241" s="104" t="s">
        <v>54</v>
      </c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</row>
    <row r="242" spans="2:13" ht="20.25" x14ac:dyDescent="0.15">
      <c r="B242" s="105" t="s">
        <v>67</v>
      </c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</row>
    <row r="243" spans="2:13" ht="20.100000000000001" customHeight="1" x14ac:dyDescent="0.25">
      <c r="B243" s="16"/>
      <c r="C243" s="16"/>
      <c r="D243" s="16"/>
      <c r="E243" s="16"/>
      <c r="F243" s="16"/>
      <c r="G243" s="16"/>
      <c r="H243" s="16"/>
      <c r="I243" s="107" t="s">
        <v>22</v>
      </c>
      <c r="J243" s="107"/>
      <c r="K243" s="108" t="str">
        <f>K4</f>
        <v>2026E70-40-000007</v>
      </c>
      <c r="L243" s="108"/>
      <c r="M243" s="108"/>
    </row>
    <row r="244" spans="2:13" ht="20.100000000000001" customHeight="1" x14ac:dyDescent="0.2">
      <c r="B244" s="12" t="s">
        <v>23</v>
      </c>
      <c r="C244" s="109" t="str">
        <f>C5</f>
        <v>上海真兰仪表科技股份有限公司</v>
      </c>
      <c r="D244" s="110"/>
      <c r="E244" s="110"/>
      <c r="F244" s="110"/>
      <c r="G244" s="110"/>
      <c r="H244" s="110"/>
      <c r="I244" s="107" t="s">
        <v>24</v>
      </c>
      <c r="J244" s="107"/>
      <c r="K244" s="111" t="str">
        <f>K5</f>
        <v>超声波燃气表</v>
      </c>
      <c r="L244" s="108"/>
      <c r="M244" s="108"/>
    </row>
    <row r="245" spans="2:13" ht="20.100000000000001" customHeight="1" x14ac:dyDescent="0.2">
      <c r="B245" s="12" t="s">
        <v>25</v>
      </c>
      <c r="C245" s="109" t="str">
        <f>C6</f>
        <v>上海真兰仪表科技股份有限公司</v>
      </c>
      <c r="D245" s="110"/>
      <c r="E245" s="110"/>
      <c r="F245" s="110"/>
      <c r="G245" s="110"/>
      <c r="H245" s="110"/>
      <c r="I245" s="107" t="s">
        <v>26</v>
      </c>
      <c r="J245" s="107"/>
      <c r="K245" s="108" t="str">
        <f>K6</f>
        <v>UWG4A LP Z2-NB</v>
      </c>
      <c r="L245" s="108"/>
      <c r="M245" s="108"/>
    </row>
    <row r="246" spans="2:13" ht="20.100000000000001" customHeight="1" x14ac:dyDescent="0.2">
      <c r="B246" s="13" t="s">
        <v>35</v>
      </c>
      <c r="C246" s="112" t="str">
        <f>C7</f>
        <v>2582928138</v>
      </c>
      <c r="D246" s="112"/>
      <c r="E246" s="112"/>
      <c r="F246" s="112"/>
      <c r="G246" s="113" t="s">
        <v>68</v>
      </c>
      <c r="H246" s="114"/>
      <c r="I246" s="10" t="s">
        <v>36</v>
      </c>
      <c r="J246" s="14" t="s">
        <v>39</v>
      </c>
      <c r="K246" s="62" t="s">
        <v>190</v>
      </c>
      <c r="L246" s="63" t="s">
        <v>38</v>
      </c>
      <c r="M246" s="62" t="s">
        <v>191</v>
      </c>
    </row>
    <row r="247" spans="2:13" ht="20.100000000000001" customHeight="1" x14ac:dyDescent="0.2">
      <c r="B247" s="18" t="s">
        <v>40</v>
      </c>
      <c r="C247" s="115" t="str">
        <f>C8</f>
        <v>(100~101)kPa</v>
      </c>
      <c r="D247" s="115"/>
      <c r="E247" s="115"/>
      <c r="F247" s="115"/>
      <c r="G247" s="116" t="s">
        <v>42</v>
      </c>
      <c r="H247" s="117"/>
      <c r="I247" s="108" t="str">
        <f>I8</f>
        <v>(0.016~6)m³/h</v>
      </c>
      <c r="J247" s="108"/>
      <c r="K247" s="14" t="s">
        <v>43</v>
      </c>
      <c r="L247" s="108" t="str">
        <f>IF(耐久性复测!C2&gt;5,ROUND(MAX(耐久性复测!O2,耐久性复测!O7,耐久性复测!O12)*0.75,0),MAX(耐久性复测!O2,耐久性复测!O7,耐久性复测!O12))&amp;"Pa"</f>
        <v>129Pa</v>
      </c>
      <c r="M247" s="101"/>
    </row>
    <row r="248" spans="2:13" ht="20.100000000000001" customHeight="1" x14ac:dyDescent="0.2">
      <c r="B248" s="18" t="s">
        <v>44</v>
      </c>
      <c r="C248" s="108" t="s">
        <v>45</v>
      </c>
      <c r="D248" s="108"/>
      <c r="E248" s="108"/>
      <c r="F248" s="108"/>
      <c r="G248" s="108"/>
      <c r="H248" s="108"/>
      <c r="I248" s="18" t="s">
        <v>46</v>
      </c>
      <c r="J248" s="108" t="s">
        <v>189</v>
      </c>
      <c r="K248" s="108"/>
      <c r="L248" s="85" t="s">
        <v>170</v>
      </c>
      <c r="M248" s="86" t="s">
        <v>171</v>
      </c>
    </row>
    <row r="249" spans="2:13" ht="20.100000000000001" customHeight="1" x14ac:dyDescent="0.2">
      <c r="B249" s="12" t="s">
        <v>64</v>
      </c>
      <c r="C249" s="171" t="s">
        <v>65</v>
      </c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</row>
    <row r="250" spans="2:13" ht="20.100000000000001" customHeight="1" x14ac:dyDescent="0.15">
      <c r="B250" s="11" t="s">
        <v>48</v>
      </c>
      <c r="C250" s="130" t="s">
        <v>76</v>
      </c>
      <c r="D250" s="130"/>
      <c r="E250" s="70">
        <f>E12</f>
        <v>6</v>
      </c>
      <c r="F250" s="39" t="s">
        <v>77</v>
      </c>
      <c r="G250" s="130" t="s">
        <v>78</v>
      </c>
      <c r="H250" s="130"/>
      <c r="I250" s="70">
        <f>I12</f>
        <v>1.6E-2</v>
      </c>
      <c r="J250" s="39" t="s">
        <v>173</v>
      </c>
      <c r="K250" s="70" t="s">
        <v>94</v>
      </c>
      <c r="L250" s="70">
        <f>L12</f>
        <v>0.25</v>
      </c>
      <c r="M250" s="39" t="s">
        <v>77</v>
      </c>
    </row>
    <row r="251" spans="2:13" ht="20.100000000000001" customHeight="1" x14ac:dyDescent="0.15">
      <c r="B251" s="148" t="s">
        <v>172</v>
      </c>
      <c r="C251" s="148"/>
      <c r="D251" s="148"/>
      <c r="E251" s="128" t="s">
        <v>174</v>
      </c>
      <c r="F251" s="128"/>
      <c r="G251" s="128"/>
      <c r="H251" s="128"/>
      <c r="I251" s="128" t="s">
        <v>175</v>
      </c>
      <c r="J251" s="128"/>
      <c r="K251" s="128" t="s">
        <v>176</v>
      </c>
      <c r="L251" s="128"/>
      <c r="M251" s="69" t="s">
        <v>177</v>
      </c>
    </row>
    <row r="252" spans="2:13" ht="20.100000000000001" customHeight="1" x14ac:dyDescent="0.15">
      <c r="B252" s="148"/>
      <c r="C252" s="148"/>
      <c r="D252" s="148"/>
      <c r="E252" s="128">
        <f>E250</f>
        <v>6</v>
      </c>
      <c r="F252" s="128"/>
      <c r="G252" s="128"/>
      <c r="H252" s="128"/>
      <c r="I252" s="128">
        <v>2000</v>
      </c>
      <c r="J252" s="128"/>
      <c r="K252" s="128">
        <v>521.39340000000004</v>
      </c>
      <c r="L252" s="128"/>
      <c r="M252" s="69">
        <v>12566.1361</v>
      </c>
    </row>
    <row r="253" spans="2:13" ht="20.100000000000001" customHeight="1" x14ac:dyDescent="0.15">
      <c r="B253" s="87" t="s">
        <v>178</v>
      </c>
      <c r="C253" s="75"/>
      <c r="D253" s="75"/>
      <c r="E253" s="70"/>
      <c r="F253" s="39"/>
      <c r="G253" s="70"/>
      <c r="H253" s="70"/>
      <c r="I253" s="70"/>
      <c r="J253" s="39"/>
      <c r="K253" s="70"/>
      <c r="L253" s="75"/>
      <c r="M253" s="26"/>
    </row>
    <row r="254" spans="2:13" ht="20.100000000000001" customHeight="1" x14ac:dyDescent="0.15">
      <c r="B254" s="124" t="s">
        <v>27</v>
      </c>
      <c r="C254" s="128" t="s">
        <v>28</v>
      </c>
      <c r="D254" s="128"/>
      <c r="E254" s="138" t="s">
        <v>29</v>
      </c>
      <c r="F254" s="139"/>
      <c r="G254" s="138" t="s">
        <v>30</v>
      </c>
      <c r="H254" s="139"/>
      <c r="I254" s="124" t="s">
        <v>31</v>
      </c>
      <c r="J254" s="138" t="s">
        <v>32</v>
      </c>
      <c r="K254" s="139"/>
      <c r="L254" s="158" t="s">
        <v>169</v>
      </c>
      <c r="M254" s="159"/>
    </row>
    <row r="255" spans="2:13" ht="20.100000000000001" customHeight="1" x14ac:dyDescent="0.15">
      <c r="B255" s="122"/>
      <c r="C255" s="128"/>
      <c r="D255" s="128"/>
      <c r="E255" s="140"/>
      <c r="F255" s="141"/>
      <c r="G255" s="140"/>
      <c r="H255" s="141"/>
      <c r="I255" s="122"/>
      <c r="J255" s="140"/>
      <c r="K255" s="141"/>
      <c r="L255" s="180"/>
      <c r="M255" s="181"/>
    </row>
    <row r="256" spans="2:13" ht="20.100000000000001" customHeight="1" x14ac:dyDescent="0.15">
      <c r="B256" s="122"/>
      <c r="C256" s="136"/>
      <c r="D256" s="137"/>
      <c r="E256" s="140"/>
      <c r="F256" s="141"/>
      <c r="G256" s="140"/>
      <c r="H256" s="141"/>
      <c r="I256" s="122"/>
      <c r="J256" s="140"/>
      <c r="K256" s="141"/>
      <c r="L256" s="180"/>
      <c r="M256" s="181"/>
    </row>
    <row r="257" spans="2:13" ht="20.100000000000001" customHeight="1" x14ac:dyDescent="0.15">
      <c r="B257" s="123"/>
      <c r="C257" s="136"/>
      <c r="D257" s="137"/>
      <c r="E257" s="142" t="s">
        <v>56</v>
      </c>
      <c r="F257" s="135"/>
      <c r="G257" s="142" t="s">
        <v>56</v>
      </c>
      <c r="H257" s="135"/>
      <c r="I257" s="61" t="s">
        <v>55</v>
      </c>
      <c r="J257" s="142" t="s">
        <v>55</v>
      </c>
      <c r="K257" s="143"/>
      <c r="L257" s="160"/>
      <c r="M257" s="161"/>
    </row>
    <row r="258" spans="2:13" ht="20.100000000000001" customHeight="1" x14ac:dyDescent="0.15">
      <c r="B258" s="128" t="s">
        <v>58</v>
      </c>
      <c r="C258" s="151">
        <v>1</v>
      </c>
      <c r="D258" s="145"/>
      <c r="E258" s="149">
        <f>耐久性复测!K2</f>
        <v>100</v>
      </c>
      <c r="F258" s="149"/>
      <c r="G258" s="150">
        <f>耐久性复测!H2</f>
        <v>98.944730000000007</v>
      </c>
      <c r="H258" s="150"/>
      <c r="I258" s="5">
        <f>(E258-G258)/G258*100</f>
        <v>1.0665247153638127</v>
      </c>
      <c r="J258" s="92">
        <f>AVERAGE(I258:I260)</f>
        <v>0.98203443935188506</v>
      </c>
      <c r="K258" s="93"/>
      <c r="L258" s="90">
        <f>(J258-J17)/100</f>
        <v>6.2124797920675161E-5</v>
      </c>
      <c r="M258" s="90"/>
    </row>
    <row r="259" spans="2:13" ht="20.100000000000001" customHeight="1" x14ac:dyDescent="0.15">
      <c r="B259" s="128"/>
      <c r="C259" s="151">
        <v>2</v>
      </c>
      <c r="D259" s="145"/>
      <c r="E259" s="149">
        <f>耐久性复测!K7</f>
        <v>100</v>
      </c>
      <c r="F259" s="149"/>
      <c r="G259" s="150">
        <f>耐久性复测!H7</f>
        <v>99.090059999999994</v>
      </c>
      <c r="H259" s="150"/>
      <c r="I259" s="5">
        <f t="shared" ref="I259:I276" si="7">(E259-G259)/G259*100</f>
        <v>0.91829594209551002</v>
      </c>
      <c r="J259" s="96"/>
      <c r="K259" s="97"/>
      <c r="L259" s="90"/>
      <c r="M259" s="90"/>
    </row>
    <row r="260" spans="2:13" ht="20.100000000000001" customHeight="1" x14ac:dyDescent="0.15">
      <c r="B260" s="128"/>
      <c r="C260" s="151">
        <v>3</v>
      </c>
      <c r="D260" s="145"/>
      <c r="E260" s="149">
        <f>耐久性复测!K12</f>
        <v>100</v>
      </c>
      <c r="F260" s="149"/>
      <c r="G260" s="150">
        <f>耐久性复测!H12</f>
        <v>99.047870000000003</v>
      </c>
      <c r="H260" s="150"/>
      <c r="I260" s="5">
        <f t="shared" si="7"/>
        <v>0.96128266059633261</v>
      </c>
      <c r="J260" s="94"/>
      <c r="K260" s="95"/>
      <c r="L260" s="90"/>
      <c r="M260" s="90"/>
    </row>
    <row r="261" spans="2:13" ht="20.100000000000001" customHeight="1" x14ac:dyDescent="0.15">
      <c r="B261" s="120" t="s">
        <v>59</v>
      </c>
      <c r="C261" s="151">
        <v>1</v>
      </c>
      <c r="D261" s="145"/>
      <c r="E261" s="149">
        <f>耐久性复测!K3</f>
        <v>70</v>
      </c>
      <c r="F261" s="149"/>
      <c r="G261" s="150">
        <f>耐久性复测!H3</f>
        <v>70.008369999999999</v>
      </c>
      <c r="H261" s="150"/>
      <c r="I261" s="5">
        <f t="shared" si="7"/>
        <v>-1.1955713295423566E-2</v>
      </c>
      <c r="J261" s="92">
        <f>AVERAGE(I261:I263)</f>
        <v>-3.4701888835205232E-2</v>
      </c>
      <c r="K261" s="93"/>
      <c r="L261" s="90">
        <f>(J261-J23)/100</f>
        <v>5.6630528030109778E-4</v>
      </c>
      <c r="M261" s="90"/>
    </row>
    <row r="262" spans="2:13" ht="20.100000000000001" customHeight="1" x14ac:dyDescent="0.15">
      <c r="B262" s="128"/>
      <c r="C262" s="151">
        <v>2</v>
      </c>
      <c r="D262" s="145"/>
      <c r="E262" s="149">
        <f>耐久性复测!K8</f>
        <v>70</v>
      </c>
      <c r="F262" s="149"/>
      <c r="G262" s="150">
        <f>耐久性复测!H8</f>
        <v>70.055419999999998</v>
      </c>
      <c r="H262" s="150"/>
      <c r="I262" s="5">
        <f t="shared" si="7"/>
        <v>-7.9108797006709863E-2</v>
      </c>
      <c r="J262" s="96"/>
      <c r="K262" s="97"/>
      <c r="L262" s="90"/>
      <c r="M262" s="90"/>
    </row>
    <row r="263" spans="2:13" ht="20.100000000000001" customHeight="1" x14ac:dyDescent="0.15">
      <c r="B263" s="128"/>
      <c r="C263" s="151">
        <v>3</v>
      </c>
      <c r="D263" s="145"/>
      <c r="E263" s="149">
        <f>耐久性复测!K13</f>
        <v>70</v>
      </c>
      <c r="F263" s="149"/>
      <c r="G263" s="150">
        <f>耐久性复测!H13</f>
        <v>70.009129999999999</v>
      </c>
      <c r="H263" s="150"/>
      <c r="I263" s="5">
        <f t="shared" si="7"/>
        <v>-1.3041156203482278E-2</v>
      </c>
      <c r="J263" s="94"/>
      <c r="K263" s="95"/>
      <c r="L263" s="90"/>
      <c r="M263" s="90"/>
    </row>
    <row r="264" spans="2:13" ht="20.100000000000001" customHeight="1" x14ac:dyDescent="0.15">
      <c r="B264" s="120" t="s">
        <v>60</v>
      </c>
      <c r="C264" s="151">
        <v>1</v>
      </c>
      <c r="D264" s="145"/>
      <c r="E264" s="149">
        <f>耐久性复测!K4</f>
        <v>40</v>
      </c>
      <c r="F264" s="149"/>
      <c r="G264" s="150">
        <f>耐久性复测!H4</f>
        <v>39.858199999999997</v>
      </c>
      <c r="H264" s="150"/>
      <c r="I264" s="5">
        <f t="shared" si="7"/>
        <v>0.35576117335956836</v>
      </c>
      <c r="J264" s="92">
        <f>AVERAGE(I264:I266)</f>
        <v>0.27903151441187263</v>
      </c>
      <c r="K264" s="93"/>
      <c r="L264" s="90">
        <f>(J264-J29)/100</f>
        <v>1.3818029650832649E-3</v>
      </c>
      <c r="M264" s="90"/>
    </row>
    <row r="265" spans="2:13" ht="20.100000000000001" customHeight="1" x14ac:dyDescent="0.15">
      <c r="B265" s="128"/>
      <c r="C265" s="151">
        <v>2</v>
      </c>
      <c r="D265" s="145"/>
      <c r="E265" s="149">
        <f>耐久性复测!K9</f>
        <v>40</v>
      </c>
      <c r="F265" s="149"/>
      <c r="G265" s="150">
        <f>耐久性复测!H9</f>
        <v>39.875349999999997</v>
      </c>
      <c r="H265" s="150"/>
      <c r="I265" s="5">
        <f t="shared" si="7"/>
        <v>0.31259913706087245</v>
      </c>
      <c r="J265" s="96"/>
      <c r="K265" s="97"/>
      <c r="L265" s="90"/>
      <c r="M265" s="90"/>
    </row>
    <row r="266" spans="2:13" ht="20.100000000000001" customHeight="1" x14ac:dyDescent="0.15">
      <c r="B266" s="128"/>
      <c r="C266" s="151">
        <v>3</v>
      </c>
      <c r="D266" s="145"/>
      <c r="E266" s="149">
        <f>耐久性复测!K14</f>
        <v>40</v>
      </c>
      <c r="F266" s="149"/>
      <c r="G266" s="150">
        <f>耐久性复测!H14</f>
        <v>39.93262</v>
      </c>
      <c r="H266" s="150"/>
      <c r="I266" s="5">
        <f t="shared" si="7"/>
        <v>0.16873423281517716</v>
      </c>
      <c r="J266" s="94"/>
      <c r="K266" s="95"/>
      <c r="L266" s="90"/>
      <c r="M266" s="90"/>
    </row>
    <row r="267" spans="2:13" ht="20.100000000000001" customHeight="1" x14ac:dyDescent="0.15">
      <c r="B267" s="120" t="s">
        <v>61</v>
      </c>
      <c r="C267" s="151">
        <v>1</v>
      </c>
      <c r="D267" s="145"/>
      <c r="E267" s="149">
        <f>耐久性复测!K5</f>
        <v>20</v>
      </c>
      <c r="F267" s="149"/>
      <c r="G267" s="150">
        <f>耐久性复测!H5</f>
        <v>19.993870000000001</v>
      </c>
      <c r="H267" s="150"/>
      <c r="I267" s="5">
        <f t="shared" si="7"/>
        <v>3.0659397105207039E-2</v>
      </c>
      <c r="J267" s="92">
        <f>AVERAGE(I267:I269)</f>
        <v>3.1658125621379485E-2</v>
      </c>
      <c r="K267" s="93"/>
      <c r="L267" s="90">
        <f>(J267-J35)/100</f>
        <v>-4.1440831941731146E-5</v>
      </c>
      <c r="M267" s="90"/>
    </row>
    <row r="268" spans="2:13" ht="20.100000000000001" customHeight="1" x14ac:dyDescent="0.15">
      <c r="B268" s="128"/>
      <c r="C268" s="151">
        <v>2</v>
      </c>
      <c r="D268" s="145"/>
      <c r="E268" s="149">
        <f>耐久性复测!K10</f>
        <v>20</v>
      </c>
      <c r="F268" s="149"/>
      <c r="G268" s="150">
        <f>耐久性复测!H10</f>
        <v>19.973880000000001</v>
      </c>
      <c r="H268" s="150"/>
      <c r="I268" s="5">
        <f t="shared" si="7"/>
        <v>0.1307707866473555</v>
      </c>
      <c r="J268" s="96"/>
      <c r="K268" s="97"/>
      <c r="L268" s="90"/>
      <c r="M268" s="90"/>
    </row>
    <row r="269" spans="2:13" ht="20.100000000000001" customHeight="1" x14ac:dyDescent="0.15">
      <c r="B269" s="128"/>
      <c r="C269" s="151">
        <v>3</v>
      </c>
      <c r="D269" s="145"/>
      <c r="E269" s="149">
        <f>耐久性复测!K15</f>
        <v>20</v>
      </c>
      <c r="F269" s="149"/>
      <c r="G269" s="150">
        <f>耐久性复测!H15</f>
        <v>20.013300000000001</v>
      </c>
      <c r="H269" s="150"/>
      <c r="I269" s="5">
        <f t="shared" si="7"/>
        <v>-6.645580688842409E-2</v>
      </c>
      <c r="J269" s="94"/>
      <c r="K269" s="95"/>
      <c r="L269" s="90"/>
      <c r="M269" s="90"/>
    </row>
    <row r="270" spans="2:13" ht="20.100000000000001" customHeight="1" x14ac:dyDescent="0.15">
      <c r="B270" s="120" t="s">
        <v>62</v>
      </c>
      <c r="C270" s="151">
        <v>1</v>
      </c>
      <c r="D270" s="145"/>
      <c r="E270" s="149">
        <f>耐久性复测!K6</f>
        <v>20</v>
      </c>
      <c r="F270" s="149"/>
      <c r="G270" s="150">
        <f>耐久性复测!H6</f>
        <v>19.93242</v>
      </c>
      <c r="H270" s="150"/>
      <c r="I270" s="5">
        <f t="shared" si="7"/>
        <v>0.33904563520134295</v>
      </c>
      <c r="J270" s="92">
        <f>AVERAGE(I270:I272)</f>
        <v>0.26066394298406259</v>
      </c>
      <c r="K270" s="93"/>
      <c r="L270" s="90">
        <f>(J270-J41)/100</f>
        <v>1.899317222307306E-3</v>
      </c>
      <c r="M270" s="90"/>
    </row>
    <row r="271" spans="2:13" ht="20.100000000000001" customHeight="1" x14ac:dyDescent="0.15">
      <c r="B271" s="128"/>
      <c r="C271" s="151">
        <v>2</v>
      </c>
      <c r="D271" s="145"/>
      <c r="E271" s="149">
        <f>耐久性复测!K11</f>
        <v>20</v>
      </c>
      <c r="F271" s="149"/>
      <c r="G271" s="150">
        <f>耐久性复测!H11</f>
        <v>19.949919999999999</v>
      </c>
      <c r="H271" s="150"/>
      <c r="I271" s="5">
        <f t="shared" si="7"/>
        <v>0.25102857555319136</v>
      </c>
      <c r="J271" s="96"/>
      <c r="K271" s="97"/>
      <c r="L271" s="90"/>
      <c r="M271" s="90"/>
    </row>
    <row r="272" spans="2:13" ht="20.100000000000001" customHeight="1" x14ac:dyDescent="0.15">
      <c r="B272" s="128"/>
      <c r="C272" s="151">
        <v>3</v>
      </c>
      <c r="D272" s="145"/>
      <c r="E272" s="149">
        <f>耐久性复测!K16</f>
        <v>20</v>
      </c>
      <c r="F272" s="149"/>
      <c r="G272" s="150">
        <f>耐久性复测!H16</f>
        <v>19.961690000000001</v>
      </c>
      <c r="H272" s="150"/>
      <c r="I272" s="5">
        <f t="shared" si="7"/>
        <v>0.19191761819765349</v>
      </c>
      <c r="J272" s="94"/>
      <c r="K272" s="95"/>
      <c r="L272" s="90"/>
      <c r="M272" s="90"/>
    </row>
    <row r="273" spans="2:13" ht="20.100000000000001" customHeight="1" x14ac:dyDescent="0.15">
      <c r="B273" s="155" t="s">
        <v>70</v>
      </c>
      <c r="C273" s="151">
        <v>1</v>
      </c>
      <c r="D273" s="145"/>
      <c r="E273" s="149">
        <f>耐久性复测!K17</f>
        <v>20</v>
      </c>
      <c r="F273" s="149"/>
      <c r="G273" s="150">
        <f>耐久性复测!H17</f>
        <v>19.881889999999999</v>
      </c>
      <c r="H273" s="150"/>
      <c r="I273" s="5">
        <f t="shared" si="7"/>
        <v>0.59405821076367238</v>
      </c>
      <c r="J273" s="92">
        <f>AVERAGE(I273:I274)</f>
        <v>0.59582912690972223</v>
      </c>
      <c r="K273" s="93"/>
      <c r="L273" s="91">
        <f>(J273-J47)/100</f>
        <v>1.8514810815823117E-3</v>
      </c>
      <c r="M273" s="91"/>
    </row>
    <row r="274" spans="2:13" ht="20.100000000000001" customHeight="1" x14ac:dyDescent="0.15">
      <c r="B274" s="120"/>
      <c r="C274" s="151">
        <v>2</v>
      </c>
      <c r="D274" s="145"/>
      <c r="E274" s="149">
        <f>耐久性复测!K20</f>
        <v>20</v>
      </c>
      <c r="F274" s="149"/>
      <c r="G274" s="150">
        <f>耐久性复测!H20</f>
        <v>19.88119</v>
      </c>
      <c r="H274" s="150"/>
      <c r="I274" s="5">
        <f t="shared" si="7"/>
        <v>0.59760004305577208</v>
      </c>
      <c r="J274" s="94"/>
      <c r="K274" s="95"/>
      <c r="L274" s="91"/>
      <c r="M274" s="91"/>
    </row>
    <row r="275" spans="2:13" ht="20.100000000000001" customHeight="1" x14ac:dyDescent="0.15">
      <c r="B275" s="155" t="s">
        <v>193</v>
      </c>
      <c r="C275" s="151">
        <v>1</v>
      </c>
      <c r="D275" s="145"/>
      <c r="E275" s="149">
        <f>耐久性复测!K18</f>
        <v>10</v>
      </c>
      <c r="F275" s="149"/>
      <c r="G275" s="150">
        <f>耐久性复测!H18</f>
        <v>10.039350000000001</v>
      </c>
      <c r="H275" s="150"/>
      <c r="I275" s="5">
        <f t="shared" si="7"/>
        <v>-0.39195764666039795</v>
      </c>
      <c r="J275" s="92">
        <f>AVERAGE(I275:I276)</f>
        <v>-0.34548046789813847</v>
      </c>
      <c r="K275" s="93"/>
      <c r="L275" s="91">
        <f>(J275-J49)/100</f>
        <v>2.039402447836599E-3</v>
      </c>
      <c r="M275" s="91"/>
    </row>
    <row r="276" spans="2:13" ht="20.100000000000001" customHeight="1" x14ac:dyDescent="0.15">
      <c r="B276" s="120"/>
      <c r="C276" s="151">
        <v>2</v>
      </c>
      <c r="D276" s="145"/>
      <c r="E276" s="149">
        <f>耐久性复测!K21</f>
        <v>10</v>
      </c>
      <c r="F276" s="149"/>
      <c r="G276" s="150">
        <f>耐久性复测!H21</f>
        <v>10.02999</v>
      </c>
      <c r="H276" s="150"/>
      <c r="I276" s="5">
        <f t="shared" si="7"/>
        <v>-0.29900328913587892</v>
      </c>
      <c r="J276" s="94"/>
      <c r="K276" s="95"/>
      <c r="L276" s="91"/>
      <c r="M276" s="91"/>
    </row>
    <row r="277" spans="2:13" ht="20.100000000000001" customHeight="1" x14ac:dyDescent="0.15">
      <c r="B277" s="155" t="s">
        <v>63</v>
      </c>
      <c r="C277" s="151">
        <v>1</v>
      </c>
      <c r="D277" s="145"/>
      <c r="E277" s="149">
        <f>耐久性复测!K19</f>
        <v>10</v>
      </c>
      <c r="F277" s="149"/>
      <c r="G277" s="150">
        <f>耐久性复测!H19</f>
        <v>10.03613</v>
      </c>
      <c r="H277" s="150"/>
      <c r="I277" s="5">
        <f>(E277-G277)/G277*100</f>
        <v>-0.35999932244799532</v>
      </c>
      <c r="J277" s="92">
        <f>AVERAGE(I277:I278)</f>
        <v>-0.27681184558633071</v>
      </c>
      <c r="K277" s="93"/>
      <c r="L277" s="91">
        <f>ABS((J277-J51)/100)</f>
        <v>2.5038317493043306E-4</v>
      </c>
      <c r="M277" s="91"/>
    </row>
    <row r="278" spans="2:13" ht="20.100000000000001" customHeight="1" x14ac:dyDescent="0.15">
      <c r="B278" s="120"/>
      <c r="C278" s="128">
        <v>2</v>
      </c>
      <c r="D278" s="128"/>
      <c r="E278" s="149">
        <f>耐久性复测!K22</f>
        <v>10</v>
      </c>
      <c r="F278" s="149"/>
      <c r="G278" s="150">
        <f>耐久性复测!H22</f>
        <v>10.019399999999999</v>
      </c>
      <c r="H278" s="150"/>
      <c r="I278" s="5">
        <f>(E278-G278)/G278*100</f>
        <v>-0.19362436872466612</v>
      </c>
      <c r="J278" s="94"/>
      <c r="K278" s="95"/>
      <c r="L278" s="91"/>
      <c r="M278" s="91"/>
    </row>
    <row r="279" spans="2:13" ht="20.100000000000001" customHeight="1" x14ac:dyDescent="0.2">
      <c r="B279" s="98" t="s">
        <v>49</v>
      </c>
      <c r="C279" s="99"/>
      <c r="D279" s="60"/>
      <c r="E279" s="60"/>
      <c r="F279" s="60"/>
      <c r="G279" s="100" t="s">
        <v>50</v>
      </c>
      <c r="H279" s="101"/>
      <c r="I279" s="60"/>
      <c r="J279" s="59" t="inlineStr">
        <is>
          <t>测量日期：</t>
        </is>
      </c>
      <c r="K279" s="101" t="inlineStr">
        <is>
          <t>2025.12.05 09:00～2026.03.24 16:00</t>
        </is>
      </c>
      <c r="L279" s="101"/>
      <c r="M279" s="101"/>
    </row>
    <row r="280" spans="2:13" ht="20.100000000000001" customHeight="1" x14ac:dyDescent="0.15"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</row>
    <row r="281" spans="2:13" ht="15" x14ac:dyDescent="0.15"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102" t="s">
        <v>57</v>
      </c>
      <c r="M281" s="102"/>
    </row>
    <row r="284" spans="2:13" x14ac:dyDescent="0.15">
      <c r="B284" s="103" t="s">
        <v>66</v>
      </c>
      <c r="C284" s="103"/>
      <c r="D284" s="103"/>
      <c r="E284" s="103"/>
      <c r="F284" s="103"/>
      <c r="G284" s="103"/>
      <c r="H284" s="103"/>
      <c r="I284" s="103"/>
      <c r="J284" s="103"/>
      <c r="K284" s="103"/>
      <c r="L284" s="103"/>
      <c r="M284" s="103"/>
    </row>
    <row r="285" spans="2:13" ht="20.25" x14ac:dyDescent="0.15">
      <c r="B285" s="104" t="s">
        <v>54</v>
      </c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</row>
    <row r="286" spans="2:13" ht="20.25" x14ac:dyDescent="0.15">
      <c r="B286" s="105" t="s">
        <v>67</v>
      </c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</row>
    <row r="287" spans="2:13" ht="20.100000000000001" customHeight="1" x14ac:dyDescent="0.25">
      <c r="B287" s="16"/>
      <c r="C287" s="16"/>
      <c r="D287" s="16"/>
      <c r="E287" s="16"/>
      <c r="F287" s="16"/>
      <c r="G287" s="16"/>
      <c r="H287" s="16"/>
      <c r="I287" s="107" t="s">
        <v>22</v>
      </c>
      <c r="J287" s="107"/>
      <c r="K287" s="108" t="str">
        <f>K4</f>
        <v>2026E70-40-000007</v>
      </c>
      <c r="L287" s="108"/>
      <c r="M287" s="108"/>
    </row>
    <row r="288" spans="2:13" ht="20.100000000000001" customHeight="1" x14ac:dyDescent="0.2">
      <c r="B288" s="12" t="s">
        <v>23</v>
      </c>
      <c r="C288" s="110" t="str">
        <f>C5</f>
        <v>上海真兰仪表科技股份有限公司</v>
      </c>
      <c r="D288" s="110"/>
      <c r="E288" s="110"/>
      <c r="F288" s="110"/>
      <c r="G288" s="110"/>
      <c r="H288" s="110"/>
      <c r="I288" s="107" t="s">
        <v>137</v>
      </c>
      <c r="J288" s="107"/>
      <c r="K288" s="108" t="str">
        <f>K5</f>
        <v>超声波燃气表</v>
      </c>
      <c r="L288" s="108"/>
      <c r="M288" s="108"/>
    </row>
    <row r="289" spans="2:13" ht="20.100000000000001" customHeight="1" x14ac:dyDescent="0.2">
      <c r="B289" s="12" t="s">
        <v>25</v>
      </c>
      <c r="C289" s="110" t="str">
        <f>C6</f>
        <v>上海真兰仪表科技股份有限公司</v>
      </c>
      <c r="D289" s="110"/>
      <c r="E289" s="110"/>
      <c r="F289" s="110"/>
      <c r="G289" s="110"/>
      <c r="H289" s="110"/>
      <c r="I289" s="107" t="s">
        <v>132</v>
      </c>
      <c r="J289" s="107"/>
      <c r="K289" s="108" t="str">
        <f>K6</f>
        <v>UWG4A LP Z2-NB</v>
      </c>
      <c r="L289" s="108"/>
      <c r="M289" s="108"/>
    </row>
    <row r="290" spans="2:13" ht="20.100000000000001" customHeight="1" x14ac:dyDescent="0.2">
      <c r="B290" s="13" t="s">
        <v>35</v>
      </c>
      <c r="C290" s="112" t="str">
        <f>C7</f>
        <v>2582928138</v>
      </c>
      <c r="D290" s="112"/>
      <c r="E290" s="112"/>
      <c r="F290" s="112"/>
      <c r="G290" s="114" t="s">
        <v>133</v>
      </c>
      <c r="H290" s="114"/>
      <c r="I290" s="79" t="s">
        <v>134</v>
      </c>
      <c r="J290" s="80" t="s">
        <v>135</v>
      </c>
      <c r="K290" s="77" t="s">
        <v>37</v>
      </c>
      <c r="L290" s="78" t="s">
        <v>38</v>
      </c>
      <c r="M290" s="77" t="s">
        <v>179</v>
      </c>
    </row>
    <row r="291" spans="2:13" ht="20.100000000000001" customHeight="1" x14ac:dyDescent="0.2">
      <c r="B291" s="18" t="s">
        <v>40</v>
      </c>
      <c r="C291" s="112" t="str">
        <f>C8</f>
        <v>(100~101)kPa</v>
      </c>
      <c r="D291" s="112"/>
      <c r="E291" s="112"/>
      <c r="F291" s="112"/>
      <c r="G291" s="117" t="s">
        <v>136</v>
      </c>
      <c r="H291" s="117"/>
      <c r="I291" s="108" t="str">
        <f>I8</f>
        <v>(0.016~6)m³/h</v>
      </c>
      <c r="J291" s="108"/>
      <c r="K291" s="80"/>
      <c r="L291" s="101"/>
      <c r="M291" s="101"/>
    </row>
    <row r="292" spans="2:13" ht="20.100000000000001" customHeight="1" x14ac:dyDescent="0.2">
      <c r="B292" s="18" t="s">
        <v>44</v>
      </c>
      <c r="C292" s="108" t="s">
        <v>45</v>
      </c>
      <c r="D292" s="108"/>
      <c r="E292" s="108"/>
      <c r="F292" s="108"/>
      <c r="G292" s="108"/>
      <c r="H292" s="108"/>
      <c r="I292" s="18" t="s">
        <v>46</v>
      </c>
      <c r="J292" s="108" t="s">
        <v>189</v>
      </c>
      <c r="K292" s="108"/>
      <c r="L292" s="72"/>
      <c r="M292" s="71"/>
    </row>
    <row r="293" spans="2:13" ht="20.100000000000001" customHeight="1" x14ac:dyDescent="0.2">
      <c r="B293" s="12" t="s">
        <v>64</v>
      </c>
      <c r="C293" s="12" t="s">
        <v>138</v>
      </c>
      <c r="D293" s="144">
        <v>2816</v>
      </c>
      <c r="E293" s="144"/>
      <c r="F293" s="12"/>
      <c r="G293" s="12"/>
      <c r="H293" s="12"/>
      <c r="I293" s="12"/>
      <c r="J293" s="12"/>
      <c r="K293" s="12"/>
      <c r="L293" s="12"/>
      <c r="M293" s="12"/>
    </row>
    <row r="294" spans="2:13" ht="20.100000000000001" customHeight="1" x14ac:dyDescent="0.15">
      <c r="B294" s="11" t="s">
        <v>48</v>
      </c>
      <c r="C294" s="135" t="s">
        <v>76</v>
      </c>
      <c r="D294" s="135"/>
      <c r="E294" s="75">
        <f>E12</f>
        <v>6</v>
      </c>
      <c r="F294" s="26" t="s">
        <v>77</v>
      </c>
      <c r="G294" s="135" t="s">
        <v>78</v>
      </c>
      <c r="H294" s="135"/>
      <c r="I294" s="75">
        <f>I12</f>
        <v>1.6E-2</v>
      </c>
      <c r="J294" s="26" t="s">
        <v>77</v>
      </c>
      <c r="K294" s="75" t="s">
        <v>94</v>
      </c>
      <c r="L294" s="75">
        <f>L12</f>
        <v>0.25</v>
      </c>
      <c r="M294" s="26" t="s">
        <v>77</v>
      </c>
    </row>
    <row r="295" spans="2:13" ht="20.100000000000001" customHeight="1" x14ac:dyDescent="0.15">
      <c r="B295" s="124" t="s">
        <v>140</v>
      </c>
      <c r="C295" s="128" t="s">
        <v>141</v>
      </c>
      <c r="D295" s="128"/>
      <c r="E295" s="138" t="s">
        <v>142</v>
      </c>
      <c r="F295" s="139"/>
      <c r="G295" s="138" t="s">
        <v>143</v>
      </c>
      <c r="H295" s="139"/>
      <c r="I295" s="124" t="s">
        <v>144</v>
      </c>
      <c r="J295" s="138" t="s">
        <v>145</v>
      </c>
      <c r="K295" s="139"/>
      <c r="L295" s="125" t="s">
        <v>166</v>
      </c>
      <c r="M295" s="118" t="s">
        <v>88</v>
      </c>
    </row>
    <row r="296" spans="2:13" ht="20.100000000000001" customHeight="1" x14ac:dyDescent="0.15">
      <c r="B296" s="122"/>
      <c r="C296" s="128"/>
      <c r="D296" s="128"/>
      <c r="E296" s="140"/>
      <c r="F296" s="141"/>
      <c r="G296" s="140"/>
      <c r="H296" s="141"/>
      <c r="I296" s="122"/>
      <c r="J296" s="140"/>
      <c r="K296" s="141"/>
      <c r="L296" s="126"/>
      <c r="M296" s="119"/>
    </row>
    <row r="297" spans="2:13" ht="20.100000000000001" customHeight="1" x14ac:dyDescent="0.15">
      <c r="B297" s="122"/>
      <c r="C297" s="136"/>
      <c r="D297" s="137"/>
      <c r="E297" s="140"/>
      <c r="F297" s="141"/>
      <c r="G297" s="140"/>
      <c r="H297" s="141"/>
      <c r="I297" s="122"/>
      <c r="J297" s="140"/>
      <c r="K297" s="141"/>
      <c r="L297" s="126"/>
      <c r="M297" s="119"/>
    </row>
    <row r="298" spans="2:13" ht="20.100000000000001" customHeight="1" x14ac:dyDescent="0.15">
      <c r="B298" s="123"/>
      <c r="C298" s="136"/>
      <c r="D298" s="137"/>
      <c r="E298" s="142" t="s">
        <v>147</v>
      </c>
      <c r="F298" s="135"/>
      <c r="G298" s="142" t="s">
        <v>147</v>
      </c>
      <c r="H298" s="135"/>
      <c r="I298" s="74" t="s">
        <v>148</v>
      </c>
      <c r="J298" s="142" t="s">
        <v>148</v>
      </c>
      <c r="K298" s="143"/>
      <c r="L298" s="76" t="s">
        <v>113</v>
      </c>
      <c r="M298" s="120"/>
    </row>
    <row r="299" spans="2:13" ht="20.100000000000001" customHeight="1" x14ac:dyDescent="0.15">
      <c r="B299" s="128" t="s">
        <v>149</v>
      </c>
      <c r="C299" s="128">
        <v>1</v>
      </c>
      <c r="D299" s="128"/>
      <c r="E299" s="134">
        <f>耐久性复测!K2</f>
        <v>100</v>
      </c>
      <c r="F299" s="134"/>
      <c r="G299" s="133">
        <f>耐久性复测!H2</f>
        <v>98.944730000000007</v>
      </c>
      <c r="H299" s="133"/>
      <c r="I299" s="81">
        <f t="shared" ref="I299:I310" si="8">(E299-G299)/G299*100</f>
        <v>1.0665247153638127</v>
      </c>
      <c r="J299" s="127">
        <f>AVERAGE(I299:I300)</f>
        <v>0.99241032872966128</v>
      </c>
      <c r="K299" s="127"/>
      <c r="L299" s="128" t="s">
        <v>21</v>
      </c>
      <c r="M299" s="121" t="s">
        <v>185</v>
      </c>
    </row>
    <row r="300" spans="2:13" ht="20.100000000000001" customHeight="1" x14ac:dyDescent="0.15">
      <c r="B300" s="128"/>
      <c r="C300" s="128">
        <v>2</v>
      </c>
      <c r="D300" s="128"/>
      <c r="E300" s="134">
        <f>耐久性复测!K7</f>
        <v>100</v>
      </c>
      <c r="F300" s="134"/>
      <c r="G300" s="133">
        <f>耐久性复测!H7</f>
        <v>99.090059999999994</v>
      </c>
      <c r="H300" s="133"/>
      <c r="I300" s="81">
        <f t="shared" si="8"/>
        <v>0.91829594209551002</v>
      </c>
      <c r="J300" s="127"/>
      <c r="K300" s="127"/>
      <c r="L300" s="128"/>
      <c r="M300" s="182"/>
    </row>
    <row r="301" spans="2:13" ht="20.100000000000001" customHeight="1" x14ac:dyDescent="0.15">
      <c r="B301" s="128" t="s">
        <v>180</v>
      </c>
      <c r="C301" s="128">
        <v>1</v>
      </c>
      <c r="D301" s="128"/>
      <c r="E301" s="134">
        <f>耐久性复测!K3</f>
        <v>70</v>
      </c>
      <c r="F301" s="134"/>
      <c r="G301" s="133">
        <f>耐久性复测!H3</f>
        <v>70.008369999999999</v>
      </c>
      <c r="H301" s="133"/>
      <c r="I301" s="81">
        <f t="shared" si="8"/>
        <v>-1.1955713295423566E-2</v>
      </c>
      <c r="J301" s="127">
        <f>AVERAGE(I301:I302)</f>
        <v>-4.5532255151066715E-2</v>
      </c>
      <c r="K301" s="127"/>
      <c r="L301" s="128" t="s">
        <v>21</v>
      </c>
      <c r="M301" s="182"/>
    </row>
    <row r="302" spans="2:13" ht="20.100000000000001" customHeight="1" x14ac:dyDescent="0.15">
      <c r="B302" s="128"/>
      <c r="C302" s="128">
        <v>2</v>
      </c>
      <c r="D302" s="128"/>
      <c r="E302" s="134">
        <f>耐久性复测!K8</f>
        <v>70</v>
      </c>
      <c r="F302" s="134"/>
      <c r="G302" s="133">
        <f>耐久性复测!H8</f>
        <v>70.055419999999998</v>
      </c>
      <c r="H302" s="133"/>
      <c r="I302" s="81">
        <f t="shared" si="8"/>
        <v>-7.9108797006709863E-2</v>
      </c>
      <c r="J302" s="127"/>
      <c r="K302" s="127"/>
      <c r="L302" s="128"/>
      <c r="M302" s="182"/>
    </row>
    <row r="303" spans="2:13" ht="20.100000000000001" customHeight="1" x14ac:dyDescent="0.15">
      <c r="B303" s="128" t="s">
        <v>181</v>
      </c>
      <c r="C303" s="128">
        <v>1</v>
      </c>
      <c r="D303" s="128"/>
      <c r="E303" s="134">
        <f>耐久性复测!K4</f>
        <v>40</v>
      </c>
      <c r="F303" s="134"/>
      <c r="G303" s="133">
        <f>耐久性复测!H4</f>
        <v>39.858199999999997</v>
      </c>
      <c r="H303" s="133"/>
      <c r="I303" s="81">
        <f t="shared" si="8"/>
        <v>0.35576117335956836</v>
      </c>
      <c r="J303" s="127">
        <f>AVERAGE(I303:I304)</f>
        <v>0.33418015521022038</v>
      </c>
      <c r="K303" s="127"/>
      <c r="L303" s="128" t="s">
        <v>21</v>
      </c>
      <c r="M303" s="182"/>
    </row>
    <row r="304" spans="2:13" ht="20.100000000000001" customHeight="1" x14ac:dyDescent="0.15">
      <c r="B304" s="128"/>
      <c r="C304" s="128">
        <v>2</v>
      </c>
      <c r="D304" s="128"/>
      <c r="E304" s="134">
        <f>耐久性复测!K9</f>
        <v>40</v>
      </c>
      <c r="F304" s="134"/>
      <c r="G304" s="133">
        <f>耐久性复测!H9</f>
        <v>39.875349999999997</v>
      </c>
      <c r="H304" s="133"/>
      <c r="I304" s="81">
        <f t="shared" si="8"/>
        <v>0.31259913706087245</v>
      </c>
      <c r="J304" s="127"/>
      <c r="K304" s="127"/>
      <c r="L304" s="128"/>
      <c r="M304" s="182"/>
    </row>
    <row r="305" spans="2:13" ht="20.100000000000001" customHeight="1" x14ac:dyDescent="0.15">
      <c r="B305" s="128" t="s">
        <v>151</v>
      </c>
      <c r="C305" s="128">
        <v>1</v>
      </c>
      <c r="D305" s="128"/>
      <c r="E305" s="134">
        <f>耐久性复测!K5</f>
        <v>20</v>
      </c>
      <c r="F305" s="134"/>
      <c r="G305" s="133">
        <f>耐久性复测!H5</f>
        <v>19.993870000000001</v>
      </c>
      <c r="H305" s="133"/>
      <c r="I305" s="81">
        <f t="shared" si="8"/>
        <v>3.0659397105207039E-2</v>
      </c>
      <c r="J305" s="127">
        <f>AVERAGE(I305:I306)</f>
        <v>8.0715091876281272E-2</v>
      </c>
      <c r="K305" s="127"/>
      <c r="L305" s="128" t="s">
        <v>21</v>
      </c>
      <c r="M305" s="182"/>
    </row>
    <row r="306" spans="2:13" ht="20.100000000000001" customHeight="1" x14ac:dyDescent="0.15">
      <c r="B306" s="128"/>
      <c r="C306" s="128">
        <v>2</v>
      </c>
      <c r="D306" s="128"/>
      <c r="E306" s="134">
        <f>耐久性复测!K10</f>
        <v>20</v>
      </c>
      <c r="F306" s="134"/>
      <c r="G306" s="133">
        <f>耐久性复测!H10</f>
        <v>19.973880000000001</v>
      </c>
      <c r="H306" s="133"/>
      <c r="I306" s="81">
        <f t="shared" si="8"/>
        <v>0.1307707866473555</v>
      </c>
      <c r="J306" s="127"/>
      <c r="K306" s="127"/>
      <c r="L306" s="128"/>
      <c r="M306" s="182"/>
    </row>
    <row r="307" spans="2:13" ht="20.100000000000001" customHeight="1" x14ac:dyDescent="0.15">
      <c r="B307" s="155" t="s">
        <v>182</v>
      </c>
      <c r="C307" s="128">
        <v>1</v>
      </c>
      <c r="D307" s="128"/>
      <c r="E307" s="134">
        <f>耐久性复测!K6</f>
        <v>20</v>
      </c>
      <c r="F307" s="134"/>
      <c r="G307" s="133">
        <f>耐久性复测!H6</f>
        <v>19.93242</v>
      </c>
      <c r="H307" s="133"/>
      <c r="I307" s="81">
        <f t="shared" si="8"/>
        <v>0.33904563520134295</v>
      </c>
      <c r="J307" s="127">
        <f>AVERAGE(I307:I308)</f>
        <v>0.29503710537726713</v>
      </c>
      <c r="K307" s="127"/>
      <c r="L307" s="128" t="s">
        <v>21</v>
      </c>
      <c r="M307" s="182"/>
    </row>
    <row r="308" spans="2:13" ht="20.100000000000001" customHeight="1" x14ac:dyDescent="0.15">
      <c r="B308" s="120"/>
      <c r="C308" s="128">
        <v>2</v>
      </c>
      <c r="D308" s="128"/>
      <c r="E308" s="134">
        <f>耐久性复测!K11</f>
        <v>20</v>
      </c>
      <c r="F308" s="134"/>
      <c r="G308" s="133">
        <f>耐久性复测!H11</f>
        <v>19.949919999999999</v>
      </c>
      <c r="H308" s="133"/>
      <c r="I308" s="81">
        <f t="shared" si="8"/>
        <v>0.25102857555319136</v>
      </c>
      <c r="J308" s="127"/>
      <c r="K308" s="127"/>
      <c r="L308" s="128"/>
      <c r="M308" s="182"/>
    </row>
    <row r="309" spans="2:13" ht="20.100000000000001" customHeight="1" x14ac:dyDescent="0.15">
      <c r="B309" s="155" t="s">
        <v>63</v>
      </c>
      <c r="C309" s="128">
        <v>1</v>
      </c>
      <c r="D309" s="128"/>
      <c r="E309" s="134">
        <f>耐久性复测!K19</f>
        <v>10</v>
      </c>
      <c r="F309" s="134"/>
      <c r="G309" s="133">
        <f>耐久性复测!H19</f>
        <v>10.03613</v>
      </c>
      <c r="H309" s="133"/>
      <c r="I309" s="81">
        <f t="shared" si="8"/>
        <v>-0.35999932244799532</v>
      </c>
      <c r="J309" s="127">
        <f>AVERAGE(I309:I310)</f>
        <v>-0.27681184558633071</v>
      </c>
      <c r="K309" s="127"/>
      <c r="L309" s="128" t="s">
        <v>21</v>
      </c>
      <c r="M309" s="182"/>
    </row>
    <row r="310" spans="2:13" ht="20.100000000000001" customHeight="1" x14ac:dyDescent="0.15">
      <c r="B310" s="120"/>
      <c r="C310" s="128">
        <v>2</v>
      </c>
      <c r="D310" s="128"/>
      <c r="E310" s="134">
        <f>耐久性复测!K22</f>
        <v>10</v>
      </c>
      <c r="F310" s="134"/>
      <c r="G310" s="133">
        <f>耐久性复测!H22</f>
        <v>10.019399999999999</v>
      </c>
      <c r="H310" s="133"/>
      <c r="I310" s="81">
        <f t="shared" si="8"/>
        <v>-0.19362436872466612</v>
      </c>
      <c r="J310" s="127"/>
      <c r="K310" s="127"/>
      <c r="L310" s="128"/>
      <c r="M310" s="183"/>
    </row>
    <row r="311" spans="2:13" ht="20.100000000000001" customHeight="1" x14ac:dyDescent="0.15">
      <c r="B311" s="128" t="s">
        <v>149</v>
      </c>
      <c r="C311" s="128">
        <v>1</v>
      </c>
      <c r="D311" s="128"/>
      <c r="E311" s="134">
        <f>振动跌落后!K2</f>
        <v>100</v>
      </c>
      <c r="F311" s="134"/>
      <c r="G311" s="133">
        <f>振动跌落后!H2</f>
        <v>98.867869999999996</v>
      </c>
      <c r="H311" s="133"/>
      <c r="I311" s="81">
        <f t="shared" ref="I311:I322" si="9">(E311-G311)/G311*100</f>
        <v>1.1450939521605994</v>
      </c>
      <c r="J311" s="127">
        <f>AVERAGE(I311:I312)</f>
        <v>1.1325495647524348</v>
      </c>
      <c r="K311" s="127"/>
      <c r="L311" s="127">
        <f>J311-J299</f>
        <v>0.14013923602277356</v>
      </c>
      <c r="M311" s="121" t="s">
        <v>186</v>
      </c>
    </row>
    <row r="312" spans="2:13" ht="20.100000000000001" customHeight="1" x14ac:dyDescent="0.15">
      <c r="B312" s="128"/>
      <c r="C312" s="128">
        <v>2</v>
      </c>
      <c r="D312" s="128"/>
      <c r="E312" s="134">
        <f>振动跌落后!K8</f>
        <v>100</v>
      </c>
      <c r="F312" s="134"/>
      <c r="G312" s="133">
        <f>振动跌落后!H8</f>
        <v>98.892399999999995</v>
      </c>
      <c r="H312" s="133"/>
      <c r="I312" s="81">
        <f t="shared" si="9"/>
        <v>1.1200051773442703</v>
      </c>
      <c r="J312" s="127"/>
      <c r="K312" s="127"/>
      <c r="L312" s="128"/>
      <c r="M312" s="182"/>
    </row>
    <row r="313" spans="2:13" ht="20.100000000000001" customHeight="1" x14ac:dyDescent="0.15">
      <c r="B313" s="128" t="s">
        <v>180</v>
      </c>
      <c r="C313" s="128">
        <v>1</v>
      </c>
      <c r="D313" s="128"/>
      <c r="E313" s="134">
        <f>振动跌落后!K3</f>
        <v>70</v>
      </c>
      <c r="F313" s="134"/>
      <c r="G313" s="133">
        <f>振动跌落后!H3</f>
        <v>69.929640000000006</v>
      </c>
      <c r="H313" s="133"/>
      <c r="I313" s="81">
        <f t="shared" si="9"/>
        <v>0.10061541858358451</v>
      </c>
      <c r="J313" s="127">
        <f>AVERAGE(I313:I314)</f>
        <v>2.634063178881944E-2</v>
      </c>
      <c r="K313" s="127"/>
      <c r="L313" s="127">
        <f>J313-J301</f>
        <v>7.1872886939886152E-2</v>
      </c>
      <c r="M313" s="182"/>
    </row>
    <row r="314" spans="2:13" ht="20.100000000000001" customHeight="1" x14ac:dyDescent="0.15">
      <c r="B314" s="128"/>
      <c r="C314" s="128">
        <v>2</v>
      </c>
      <c r="D314" s="128"/>
      <c r="E314" s="134">
        <f>振动跌落后!K9</f>
        <v>70</v>
      </c>
      <c r="F314" s="134"/>
      <c r="G314" s="133">
        <f>振动跌落后!H9</f>
        <v>70.033569999999997</v>
      </c>
      <c r="H314" s="133"/>
      <c r="I314" s="81">
        <f t="shared" si="9"/>
        <v>-4.7934155005945632E-2</v>
      </c>
      <c r="J314" s="127"/>
      <c r="K314" s="127"/>
      <c r="L314" s="128"/>
      <c r="M314" s="182"/>
    </row>
    <row r="315" spans="2:13" ht="20.100000000000001" customHeight="1" x14ac:dyDescent="0.15">
      <c r="B315" s="128" t="s">
        <v>181</v>
      </c>
      <c r="C315" s="128">
        <v>1</v>
      </c>
      <c r="D315" s="128"/>
      <c r="E315" s="134">
        <f>振动跌落后!K4</f>
        <v>40</v>
      </c>
      <c r="F315" s="134"/>
      <c r="G315" s="133">
        <f>振动跌落后!H4</f>
        <v>39.830860000000001</v>
      </c>
      <c r="H315" s="133"/>
      <c r="I315" s="81">
        <f t="shared" si="9"/>
        <v>0.42464561397870576</v>
      </c>
      <c r="J315" s="127">
        <f>AVERAGE(I315:I316)</f>
        <v>0.34722329046526612</v>
      </c>
      <c r="K315" s="127"/>
      <c r="L315" s="127">
        <f>J315-J303</f>
        <v>1.3043135255045746E-2</v>
      </c>
      <c r="M315" s="182"/>
    </row>
    <row r="316" spans="2:13" ht="20.100000000000001" customHeight="1" x14ac:dyDescent="0.15">
      <c r="B316" s="128"/>
      <c r="C316" s="128">
        <v>2</v>
      </c>
      <c r="D316" s="128"/>
      <c r="E316" s="134">
        <f>振动跌落后!K10</f>
        <v>40</v>
      </c>
      <c r="F316" s="134"/>
      <c r="G316" s="133">
        <f>振动跌落后!H10</f>
        <v>39.89237</v>
      </c>
      <c r="H316" s="133"/>
      <c r="I316" s="81">
        <f t="shared" si="9"/>
        <v>0.26980096695182643</v>
      </c>
      <c r="J316" s="127"/>
      <c r="K316" s="127"/>
      <c r="L316" s="128"/>
      <c r="M316" s="182"/>
    </row>
    <row r="317" spans="2:13" ht="20.100000000000001" customHeight="1" x14ac:dyDescent="0.15">
      <c r="B317" s="128" t="s">
        <v>151</v>
      </c>
      <c r="C317" s="128">
        <v>1</v>
      </c>
      <c r="D317" s="128"/>
      <c r="E317" s="134">
        <f>振动跌落后!K5</f>
        <v>20</v>
      </c>
      <c r="F317" s="134"/>
      <c r="G317" s="133">
        <f>振动跌落后!H5</f>
        <v>19.962479999999999</v>
      </c>
      <c r="H317" s="133"/>
      <c r="I317" s="81">
        <f t="shared" si="9"/>
        <v>0.18795259907586967</v>
      </c>
      <c r="J317" s="127">
        <f>AVERAGE(I317:I318)</f>
        <v>0.17081921499169833</v>
      </c>
      <c r="K317" s="127"/>
      <c r="L317" s="127">
        <f>J317-J305</f>
        <v>9.0104123115417059E-2</v>
      </c>
      <c r="M317" s="182"/>
    </row>
    <row r="318" spans="2:13" ht="20.100000000000001" customHeight="1" x14ac:dyDescent="0.15">
      <c r="B318" s="128"/>
      <c r="C318" s="128">
        <v>2</v>
      </c>
      <c r="D318" s="128"/>
      <c r="E318" s="134">
        <f>振动跌落后!K11</f>
        <v>20</v>
      </c>
      <c r="F318" s="134"/>
      <c r="G318" s="133">
        <f>振动跌落后!H11</f>
        <v>19.96931</v>
      </c>
      <c r="H318" s="133"/>
      <c r="I318" s="81">
        <f t="shared" si="9"/>
        <v>0.15368583090752702</v>
      </c>
      <c r="J318" s="127"/>
      <c r="K318" s="127"/>
      <c r="L318" s="128"/>
      <c r="M318" s="182"/>
    </row>
    <row r="319" spans="2:13" ht="20.100000000000001" customHeight="1" x14ac:dyDescent="0.15">
      <c r="B319" s="155" t="s">
        <v>182</v>
      </c>
      <c r="C319" s="128">
        <v>1</v>
      </c>
      <c r="D319" s="128"/>
      <c r="E319" s="134">
        <f>振动跌落后!K6</f>
        <v>20</v>
      </c>
      <c r="F319" s="134"/>
      <c r="G319" s="133">
        <f>振动跌落后!H6</f>
        <v>19.951920000000001</v>
      </c>
      <c r="H319" s="133"/>
      <c r="I319" s="81">
        <f t="shared" si="9"/>
        <v>0.24097931427150263</v>
      </c>
      <c r="J319" s="127">
        <f>AVERAGE(I319:I320)</f>
        <v>0.23058152897818715</v>
      </c>
      <c r="K319" s="127"/>
      <c r="L319" s="127">
        <f>ABS(J319-J307)</f>
        <v>6.4455576399079978E-2</v>
      </c>
      <c r="M319" s="182"/>
    </row>
    <row r="320" spans="2:13" ht="20.100000000000001" customHeight="1" x14ac:dyDescent="0.15">
      <c r="B320" s="120"/>
      <c r="C320" s="128">
        <v>2</v>
      </c>
      <c r="D320" s="128"/>
      <c r="E320" s="134">
        <f>振动跌落后!K12</f>
        <v>20</v>
      </c>
      <c r="F320" s="134"/>
      <c r="G320" s="133">
        <f>振动跌落后!H12</f>
        <v>19.956060000000001</v>
      </c>
      <c r="H320" s="133"/>
      <c r="I320" s="81">
        <f t="shared" si="9"/>
        <v>0.22018374368487167</v>
      </c>
      <c r="J320" s="127"/>
      <c r="K320" s="127"/>
      <c r="L320" s="128"/>
      <c r="M320" s="182"/>
    </row>
    <row r="321" spans="2:13" ht="20.100000000000001" customHeight="1" x14ac:dyDescent="0.15">
      <c r="B321" s="155" t="s">
        <v>63</v>
      </c>
      <c r="C321" s="128">
        <v>1</v>
      </c>
      <c r="D321" s="128"/>
      <c r="E321" s="134">
        <f>振动跌落后!K7</f>
        <v>10</v>
      </c>
      <c r="F321" s="134"/>
      <c r="G321" s="133">
        <f>振动跌落后!H7</f>
        <v>10.0387</v>
      </c>
      <c r="H321" s="133"/>
      <c r="I321" s="81">
        <f t="shared" si="9"/>
        <v>-0.38550808371602296</v>
      </c>
      <c r="J321" s="127">
        <f>AVERAGE(I321:I322)</f>
        <v>-0.16185495858418178</v>
      </c>
      <c r="K321" s="127"/>
      <c r="L321" s="127">
        <f>J321-J309</f>
        <v>0.11495688700214893</v>
      </c>
      <c r="M321" s="182"/>
    </row>
    <row r="322" spans="2:13" ht="20.100000000000001" customHeight="1" x14ac:dyDescent="0.15">
      <c r="B322" s="120"/>
      <c r="C322" s="128">
        <v>2</v>
      </c>
      <c r="D322" s="128"/>
      <c r="E322" s="134">
        <f>振动跌落后!K13</f>
        <v>10</v>
      </c>
      <c r="F322" s="134"/>
      <c r="G322" s="133">
        <f>振动跌落后!H13</f>
        <v>9.993824</v>
      </c>
      <c r="H322" s="133"/>
      <c r="I322" s="81">
        <f t="shared" si="9"/>
        <v>6.1798166547659426E-2</v>
      </c>
      <c r="J322" s="127"/>
      <c r="K322" s="127"/>
      <c r="L322" s="128"/>
      <c r="M322" s="183"/>
    </row>
    <row r="323" spans="2:13" ht="20.100000000000001" customHeight="1" x14ac:dyDescent="0.15">
      <c r="B323" s="70"/>
      <c r="C323" s="70"/>
      <c r="D323" s="70"/>
      <c r="E323" s="82"/>
      <c r="F323" s="82"/>
      <c r="G323" s="83"/>
      <c r="H323" s="83"/>
      <c r="I323" s="84"/>
      <c r="J323" s="84"/>
      <c r="K323" s="84"/>
      <c r="L323" s="70"/>
      <c r="M323" s="70"/>
    </row>
    <row r="324" spans="2:13" ht="15" x14ac:dyDescent="0.2">
      <c r="B324" s="98" t="s">
        <v>49</v>
      </c>
      <c r="C324" s="99"/>
      <c r="D324" s="73"/>
      <c r="E324" s="73"/>
      <c r="F324" s="73"/>
      <c r="G324" s="100" t="s">
        <v>50</v>
      </c>
      <c r="H324" s="101"/>
      <c r="I324" s="73"/>
      <c r="J324" s="72" t="inlineStr">
        <is>
          <t>测量日期：</t>
        </is>
      </c>
      <c r="K324" s="101" t="inlineStr">
        <is>
          <t>2026.04.08 09:00～2026.04.08 12:00</t>
        </is>
      </c>
      <c r="L324" s="101"/>
      <c r="M324" s="101"/>
    </row>
    <row r="325" spans="2:13" x14ac:dyDescent="0.15"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</row>
    <row r="326" spans="2:13" ht="15" x14ac:dyDescent="0.15"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102" t="s">
        <v>57</v>
      </c>
      <c r="M326" s="102"/>
    </row>
  </sheetData>
  <mergeCells count="910">
    <mergeCell ref="M311:M322"/>
    <mergeCell ref="B324:C324"/>
    <mergeCell ref="G324:H324"/>
    <mergeCell ref="K324:M324"/>
    <mergeCell ref="L326:M326"/>
    <mergeCell ref="L311:L312"/>
    <mergeCell ref="L313:L314"/>
    <mergeCell ref="L315:L316"/>
    <mergeCell ref="B317:B318"/>
    <mergeCell ref="J317:K318"/>
    <mergeCell ref="L317:L318"/>
    <mergeCell ref="C318:D318"/>
    <mergeCell ref="E318:F318"/>
    <mergeCell ref="G318:H318"/>
    <mergeCell ref="B319:B320"/>
    <mergeCell ref="J319:K320"/>
    <mergeCell ref="L319:L320"/>
    <mergeCell ref="C320:D320"/>
    <mergeCell ref="E320:F320"/>
    <mergeCell ref="G320:H320"/>
    <mergeCell ref="B321:B322"/>
    <mergeCell ref="J321:K322"/>
    <mergeCell ref="L321:L322"/>
    <mergeCell ref="G316:H316"/>
    <mergeCell ref="B315:B316"/>
    <mergeCell ref="C315:D315"/>
    <mergeCell ref="E315:F315"/>
    <mergeCell ref="G315:H315"/>
    <mergeCell ref="J315:K316"/>
    <mergeCell ref="C316:D316"/>
    <mergeCell ref="E316:F316"/>
    <mergeCell ref="C322:D322"/>
    <mergeCell ref="E322:F322"/>
    <mergeCell ref="G322:H322"/>
    <mergeCell ref="C317:D317"/>
    <mergeCell ref="E317:F317"/>
    <mergeCell ref="G317:H317"/>
    <mergeCell ref="C319:D319"/>
    <mergeCell ref="E319:F319"/>
    <mergeCell ref="G319:H319"/>
    <mergeCell ref="C321:D321"/>
    <mergeCell ref="E321:F321"/>
    <mergeCell ref="G321:H321"/>
    <mergeCell ref="B311:B312"/>
    <mergeCell ref="C311:D311"/>
    <mergeCell ref="E311:F311"/>
    <mergeCell ref="G311:H311"/>
    <mergeCell ref="J311:K312"/>
    <mergeCell ref="C312:D312"/>
    <mergeCell ref="E312:F312"/>
    <mergeCell ref="G312:H312"/>
    <mergeCell ref="B313:B314"/>
    <mergeCell ref="C313:D313"/>
    <mergeCell ref="E313:F313"/>
    <mergeCell ref="G313:H313"/>
    <mergeCell ref="J313:K314"/>
    <mergeCell ref="C314:D314"/>
    <mergeCell ref="E314:F314"/>
    <mergeCell ref="G314:H314"/>
    <mergeCell ref="B307:B308"/>
    <mergeCell ref="C307:D307"/>
    <mergeCell ref="E307:F307"/>
    <mergeCell ref="G307:H307"/>
    <mergeCell ref="J307:K308"/>
    <mergeCell ref="L307:L308"/>
    <mergeCell ref="C308:D308"/>
    <mergeCell ref="E308:F308"/>
    <mergeCell ref="G308:H308"/>
    <mergeCell ref="B309:B310"/>
    <mergeCell ref="C309:D309"/>
    <mergeCell ref="E309:F309"/>
    <mergeCell ref="G309:H309"/>
    <mergeCell ref="J309:K310"/>
    <mergeCell ref="L309:L310"/>
    <mergeCell ref="C310:D310"/>
    <mergeCell ref="E310:F310"/>
    <mergeCell ref="G310:H310"/>
    <mergeCell ref="E303:F303"/>
    <mergeCell ref="G303:H303"/>
    <mergeCell ref="J303:K304"/>
    <mergeCell ref="L303:L304"/>
    <mergeCell ref="C304:D304"/>
    <mergeCell ref="E304:F304"/>
    <mergeCell ref="G304:H304"/>
    <mergeCell ref="B305:B306"/>
    <mergeCell ref="C305:D305"/>
    <mergeCell ref="E305:F305"/>
    <mergeCell ref="G305:H305"/>
    <mergeCell ref="J305:K306"/>
    <mergeCell ref="L305:L306"/>
    <mergeCell ref="B303:B304"/>
    <mergeCell ref="C306:D306"/>
    <mergeCell ref="E306:F306"/>
    <mergeCell ref="G306:H306"/>
    <mergeCell ref="M295:M298"/>
    <mergeCell ref="E298:F298"/>
    <mergeCell ref="G298:H298"/>
    <mergeCell ref="J298:K298"/>
    <mergeCell ref="B299:B300"/>
    <mergeCell ref="C299:D299"/>
    <mergeCell ref="E299:F299"/>
    <mergeCell ref="G299:H299"/>
    <mergeCell ref="J299:K300"/>
    <mergeCell ref="L299:L300"/>
    <mergeCell ref="C300:D300"/>
    <mergeCell ref="E300:F300"/>
    <mergeCell ref="G300:H300"/>
    <mergeCell ref="M299:M310"/>
    <mergeCell ref="B301:B302"/>
    <mergeCell ref="C301:D301"/>
    <mergeCell ref="E301:F301"/>
    <mergeCell ref="G301:H301"/>
    <mergeCell ref="J301:K302"/>
    <mergeCell ref="L301:L302"/>
    <mergeCell ref="C302:D302"/>
    <mergeCell ref="E302:F302"/>
    <mergeCell ref="G302:H302"/>
    <mergeCell ref="C303:D303"/>
    <mergeCell ref="C294:D294"/>
    <mergeCell ref="G294:H294"/>
    <mergeCell ref="B295:B298"/>
    <mergeCell ref="C295:D298"/>
    <mergeCell ref="E295:F297"/>
    <mergeCell ref="G295:H297"/>
    <mergeCell ref="I295:I297"/>
    <mergeCell ref="J295:K297"/>
    <mergeCell ref="L295:L297"/>
    <mergeCell ref="C290:F290"/>
    <mergeCell ref="G290:H290"/>
    <mergeCell ref="C291:F291"/>
    <mergeCell ref="G291:H291"/>
    <mergeCell ref="I291:J291"/>
    <mergeCell ref="L291:M291"/>
    <mergeCell ref="C292:H292"/>
    <mergeCell ref="J292:K292"/>
    <mergeCell ref="D293:E293"/>
    <mergeCell ref="B284:M284"/>
    <mergeCell ref="B285:M285"/>
    <mergeCell ref="B286:M286"/>
    <mergeCell ref="I287:J287"/>
    <mergeCell ref="K287:M287"/>
    <mergeCell ref="C288:H288"/>
    <mergeCell ref="I288:J288"/>
    <mergeCell ref="K288:M288"/>
    <mergeCell ref="C289:H289"/>
    <mergeCell ref="I289:J289"/>
    <mergeCell ref="K289:M289"/>
    <mergeCell ref="B279:C279"/>
    <mergeCell ref="G279:H279"/>
    <mergeCell ref="K279:M279"/>
    <mergeCell ref="L281:M281"/>
    <mergeCell ref="E251:H251"/>
    <mergeCell ref="I251:J251"/>
    <mergeCell ref="K251:L251"/>
    <mergeCell ref="B251:D252"/>
    <mergeCell ref="E252:H252"/>
    <mergeCell ref="I252:J252"/>
    <mergeCell ref="K252:L252"/>
    <mergeCell ref="B275:B276"/>
    <mergeCell ref="E275:F275"/>
    <mergeCell ref="G275:H275"/>
    <mergeCell ref="E276:F276"/>
    <mergeCell ref="G276:H276"/>
    <mergeCell ref="B277:B278"/>
    <mergeCell ref="E277:F277"/>
    <mergeCell ref="G277:H277"/>
    <mergeCell ref="E278:F278"/>
    <mergeCell ref="C275:D275"/>
    <mergeCell ref="C276:D276"/>
    <mergeCell ref="C277:D277"/>
    <mergeCell ref="C278:D278"/>
    <mergeCell ref="G278:H278"/>
    <mergeCell ref="B270:B272"/>
    <mergeCell ref="E270:F270"/>
    <mergeCell ref="G270:H270"/>
    <mergeCell ref="E271:F271"/>
    <mergeCell ref="G271:H271"/>
    <mergeCell ref="E272:F272"/>
    <mergeCell ref="G272:H272"/>
    <mergeCell ref="B273:B274"/>
    <mergeCell ref="E273:F273"/>
    <mergeCell ref="G273:H273"/>
    <mergeCell ref="E274:F274"/>
    <mergeCell ref="G274:H274"/>
    <mergeCell ref="C270:D270"/>
    <mergeCell ref="C271:D271"/>
    <mergeCell ref="C272:D272"/>
    <mergeCell ref="C273:D273"/>
    <mergeCell ref="C274:D274"/>
    <mergeCell ref="B264:B266"/>
    <mergeCell ref="E264:F264"/>
    <mergeCell ref="G264:H264"/>
    <mergeCell ref="E265:F265"/>
    <mergeCell ref="G265:H265"/>
    <mergeCell ref="E266:F266"/>
    <mergeCell ref="G266:H266"/>
    <mergeCell ref="B267:B269"/>
    <mergeCell ref="E267:F267"/>
    <mergeCell ref="G267:H267"/>
    <mergeCell ref="E268:F268"/>
    <mergeCell ref="G268:H268"/>
    <mergeCell ref="E269:F269"/>
    <mergeCell ref="G269:H269"/>
    <mergeCell ref="C267:D267"/>
    <mergeCell ref="C268:D268"/>
    <mergeCell ref="C269:D269"/>
    <mergeCell ref="C264:D264"/>
    <mergeCell ref="C265:D265"/>
    <mergeCell ref="C266:D266"/>
    <mergeCell ref="E259:F259"/>
    <mergeCell ref="G259:H259"/>
    <mergeCell ref="E260:F260"/>
    <mergeCell ref="G260:H260"/>
    <mergeCell ref="B261:B263"/>
    <mergeCell ref="E261:F261"/>
    <mergeCell ref="G261:H261"/>
    <mergeCell ref="J258:K260"/>
    <mergeCell ref="J261:K263"/>
    <mergeCell ref="E262:F262"/>
    <mergeCell ref="G262:H262"/>
    <mergeCell ref="E263:F263"/>
    <mergeCell ref="G263:H263"/>
    <mergeCell ref="B258:B260"/>
    <mergeCell ref="E258:F258"/>
    <mergeCell ref="G258:H258"/>
    <mergeCell ref="C258:D258"/>
    <mergeCell ref="C259:D259"/>
    <mergeCell ref="C260:D260"/>
    <mergeCell ref="C261:D261"/>
    <mergeCell ref="C262:D262"/>
    <mergeCell ref="C263:D263"/>
    <mergeCell ref="C248:H248"/>
    <mergeCell ref="J248:K248"/>
    <mergeCell ref="C249:M249"/>
    <mergeCell ref="C250:D250"/>
    <mergeCell ref="G250:H250"/>
    <mergeCell ref="B254:B257"/>
    <mergeCell ref="C254:D257"/>
    <mergeCell ref="E254:F256"/>
    <mergeCell ref="G254:H256"/>
    <mergeCell ref="I254:I256"/>
    <mergeCell ref="E257:F257"/>
    <mergeCell ref="G257:H257"/>
    <mergeCell ref="J254:K256"/>
    <mergeCell ref="J257:K257"/>
    <mergeCell ref="L254:M257"/>
    <mergeCell ref="L101:M101"/>
    <mergeCell ref="B99:C99"/>
    <mergeCell ref="G99:H99"/>
    <mergeCell ref="K99:M99"/>
    <mergeCell ref="C81:D81"/>
    <mergeCell ref="C82:D82"/>
    <mergeCell ref="C83:D83"/>
    <mergeCell ref="L75:M83"/>
    <mergeCell ref="B81:B83"/>
    <mergeCell ref="E81:F81"/>
    <mergeCell ref="G81:H81"/>
    <mergeCell ref="J81:J83"/>
    <mergeCell ref="K81:K83"/>
    <mergeCell ref="E82:F82"/>
    <mergeCell ref="G82:H82"/>
    <mergeCell ref="E83:F83"/>
    <mergeCell ref="G83:H83"/>
    <mergeCell ref="B78:B80"/>
    <mergeCell ref="J78:J80"/>
    <mergeCell ref="C76:D76"/>
    <mergeCell ref="C77:D77"/>
    <mergeCell ref="E76:F76"/>
    <mergeCell ref="G76:H76"/>
    <mergeCell ref="K78:K80"/>
    <mergeCell ref="C78:D78"/>
    <mergeCell ref="C79:D79"/>
    <mergeCell ref="C80:D80"/>
    <mergeCell ref="E80:F80"/>
    <mergeCell ref="G80:H80"/>
    <mergeCell ref="E78:F78"/>
    <mergeCell ref="G78:H78"/>
    <mergeCell ref="E79:F79"/>
    <mergeCell ref="G79:H79"/>
    <mergeCell ref="B75:B77"/>
    <mergeCell ref="E75:F75"/>
    <mergeCell ref="G75:H75"/>
    <mergeCell ref="J75:J77"/>
    <mergeCell ref="K75:K77"/>
    <mergeCell ref="C75:D75"/>
    <mergeCell ref="B71:B74"/>
    <mergeCell ref="C71:D74"/>
    <mergeCell ref="E71:F73"/>
    <mergeCell ref="G71:H73"/>
    <mergeCell ref="I71:I73"/>
    <mergeCell ref="J71:J73"/>
    <mergeCell ref="E74:F74"/>
    <mergeCell ref="G74:H74"/>
    <mergeCell ref="E77:F77"/>
    <mergeCell ref="G77:H77"/>
    <mergeCell ref="L71:M74"/>
    <mergeCell ref="C68:H68"/>
    <mergeCell ref="J68:K68"/>
    <mergeCell ref="I65:J65"/>
    <mergeCell ref="K65:M65"/>
    <mergeCell ref="C66:F66"/>
    <mergeCell ref="G66:H66"/>
    <mergeCell ref="C67:F67"/>
    <mergeCell ref="G67:H67"/>
    <mergeCell ref="I67:J67"/>
    <mergeCell ref="L67:M67"/>
    <mergeCell ref="C65:H65"/>
    <mergeCell ref="C70:D70"/>
    <mergeCell ref="G70:H70"/>
    <mergeCell ref="K71:K73"/>
    <mergeCell ref="C69:D69"/>
    <mergeCell ref="B62:M62"/>
    <mergeCell ref="I63:J63"/>
    <mergeCell ref="K63:M63"/>
    <mergeCell ref="C12:D12"/>
    <mergeCell ref="G12:H12"/>
    <mergeCell ref="G48:H48"/>
    <mergeCell ref="G43:H43"/>
    <mergeCell ref="G36:H36"/>
    <mergeCell ref="B17:B22"/>
    <mergeCell ref="B23:B28"/>
    <mergeCell ref="E23:F23"/>
    <mergeCell ref="E24:F24"/>
    <mergeCell ref="E25:F25"/>
    <mergeCell ref="E26:F26"/>
    <mergeCell ref="G18:H18"/>
    <mergeCell ref="G22:H22"/>
    <mergeCell ref="E39:F39"/>
    <mergeCell ref="G21:H21"/>
    <mergeCell ref="E31:F31"/>
    <mergeCell ref="E32:F32"/>
    <mergeCell ref="G30:H30"/>
    <mergeCell ref="B29:B34"/>
    <mergeCell ref="B35:B40"/>
    <mergeCell ref="G29:H29"/>
    <mergeCell ref="C64:H64"/>
    <mergeCell ref="I64:J64"/>
    <mergeCell ref="K64:M64"/>
    <mergeCell ref="E18:F18"/>
    <mergeCell ref="E17:F17"/>
    <mergeCell ref="E47:F47"/>
    <mergeCell ref="E48:F48"/>
    <mergeCell ref="E49:F49"/>
    <mergeCell ref="G47:H47"/>
    <mergeCell ref="E41:F41"/>
    <mergeCell ref="E42:F42"/>
    <mergeCell ref="E43:F43"/>
    <mergeCell ref="G37:H37"/>
    <mergeCell ref="G38:H38"/>
    <mergeCell ref="G31:H31"/>
    <mergeCell ref="G32:H32"/>
    <mergeCell ref="G33:H33"/>
    <mergeCell ref="G34:H34"/>
    <mergeCell ref="G35:H35"/>
    <mergeCell ref="G28:H28"/>
    <mergeCell ref="G39:H39"/>
    <mergeCell ref="G40:H40"/>
    <mergeCell ref="B60:M60"/>
    <mergeCell ref="B61:M61"/>
    <mergeCell ref="D32:D34"/>
    <mergeCell ref="D29:D31"/>
    <mergeCell ref="D26:D28"/>
    <mergeCell ref="D23:D25"/>
    <mergeCell ref="K29:K34"/>
    <mergeCell ref="E27:F27"/>
    <mergeCell ref="E28:F28"/>
    <mergeCell ref="E29:F29"/>
    <mergeCell ref="E33:F33"/>
    <mergeCell ref="E34:F34"/>
    <mergeCell ref="D20:D22"/>
    <mergeCell ref="C13:D16"/>
    <mergeCell ref="B1:M1"/>
    <mergeCell ref="B2:M2"/>
    <mergeCell ref="B3:M3"/>
    <mergeCell ref="I5:J5"/>
    <mergeCell ref="K5:M5"/>
    <mergeCell ref="C5:H5"/>
    <mergeCell ref="I4:J4"/>
    <mergeCell ref="K4:M4"/>
    <mergeCell ref="E16:F16"/>
    <mergeCell ref="K11:L11"/>
    <mergeCell ref="K13:K16"/>
    <mergeCell ref="L14:L16"/>
    <mergeCell ref="B13:B16"/>
    <mergeCell ref="C6:H6"/>
    <mergeCell ref="I6:J6"/>
    <mergeCell ref="L13:M13"/>
    <mergeCell ref="J17:J22"/>
    <mergeCell ref="G17:H17"/>
    <mergeCell ref="E22:F22"/>
    <mergeCell ref="G19:H19"/>
    <mergeCell ref="M14:M16"/>
    <mergeCell ref="K55:M55"/>
    <mergeCell ref="I13:I15"/>
    <mergeCell ref="J13:J15"/>
    <mergeCell ref="L8:M8"/>
    <mergeCell ref="K6:M6"/>
    <mergeCell ref="K17:K22"/>
    <mergeCell ref="K23:K28"/>
    <mergeCell ref="C9:H9"/>
    <mergeCell ref="J9:K9"/>
    <mergeCell ref="C10:M10"/>
    <mergeCell ref="C7:F7"/>
    <mergeCell ref="G7:H7"/>
    <mergeCell ref="C8:F8"/>
    <mergeCell ref="G8:H8"/>
    <mergeCell ref="I8:J8"/>
    <mergeCell ref="L49:L50"/>
    <mergeCell ref="K49:K50"/>
    <mergeCell ref="G16:H16"/>
    <mergeCell ref="D17:D19"/>
    <mergeCell ref="D35:D37"/>
    <mergeCell ref="B55:C55"/>
    <mergeCell ref="E13:F15"/>
    <mergeCell ref="G13:H15"/>
    <mergeCell ref="K35:K40"/>
    <mergeCell ref="L41:L46"/>
    <mergeCell ref="E38:F38"/>
    <mergeCell ref="E19:F19"/>
    <mergeCell ref="E20:F20"/>
    <mergeCell ref="E21:F21"/>
    <mergeCell ref="G20:H20"/>
    <mergeCell ref="G27:H27"/>
    <mergeCell ref="G26:H26"/>
    <mergeCell ref="E45:F45"/>
    <mergeCell ref="E46:F46"/>
    <mergeCell ref="E37:F37"/>
    <mergeCell ref="G41:H41"/>
    <mergeCell ref="G42:H42"/>
    <mergeCell ref="J23:J28"/>
    <mergeCell ref="J29:J34"/>
    <mergeCell ref="E30:F30"/>
    <mergeCell ref="G25:H25"/>
    <mergeCell ref="G24:H24"/>
    <mergeCell ref="G23:H23"/>
    <mergeCell ref="E35:F35"/>
    <mergeCell ref="E36:F36"/>
    <mergeCell ref="B53:M54"/>
    <mergeCell ref="B47:B48"/>
    <mergeCell ref="B49:B50"/>
    <mergeCell ref="E40:F40"/>
    <mergeCell ref="E44:F44"/>
    <mergeCell ref="M47:M52"/>
    <mergeCell ref="D41:D43"/>
    <mergeCell ref="B41:B46"/>
    <mergeCell ref="E50:F50"/>
    <mergeCell ref="G49:H49"/>
    <mergeCell ref="G50:H50"/>
    <mergeCell ref="G45:H45"/>
    <mergeCell ref="G46:H46"/>
    <mergeCell ref="G44:H44"/>
    <mergeCell ref="L47:L48"/>
    <mergeCell ref="K47:K48"/>
    <mergeCell ref="J35:J40"/>
    <mergeCell ref="J41:J46"/>
    <mergeCell ref="J47:J48"/>
    <mergeCell ref="K41:K46"/>
    <mergeCell ref="M17:M46"/>
    <mergeCell ref="L17:L22"/>
    <mergeCell ref="L23:L28"/>
    <mergeCell ref="L29:L34"/>
    <mergeCell ref="L87:M87"/>
    <mergeCell ref="L85:M86"/>
    <mergeCell ref="G55:H55"/>
    <mergeCell ref="D38:D40"/>
    <mergeCell ref="D44:D46"/>
    <mergeCell ref="B51:B52"/>
    <mergeCell ref="E51:F51"/>
    <mergeCell ref="G51:H51"/>
    <mergeCell ref="D85:G85"/>
    <mergeCell ref="H85:J85"/>
    <mergeCell ref="B85:C86"/>
    <mergeCell ref="D86:G86"/>
    <mergeCell ref="H86:J86"/>
    <mergeCell ref="B87:C87"/>
    <mergeCell ref="D87:G87"/>
    <mergeCell ref="H87:J87"/>
    <mergeCell ref="J51:J52"/>
    <mergeCell ref="K51:K52"/>
    <mergeCell ref="L51:L52"/>
    <mergeCell ref="E52:F52"/>
    <mergeCell ref="G52:H52"/>
    <mergeCell ref="J49:J50"/>
    <mergeCell ref="L35:L40"/>
    <mergeCell ref="L57:M57"/>
    <mergeCell ref="B105:M105"/>
    <mergeCell ref="B106:M106"/>
    <mergeCell ref="B107:M107"/>
    <mergeCell ref="I108:J108"/>
    <mergeCell ref="K108:M108"/>
    <mergeCell ref="C109:H109"/>
    <mergeCell ref="I109:J109"/>
    <mergeCell ref="K109:M109"/>
    <mergeCell ref="C110:H110"/>
    <mergeCell ref="I110:J110"/>
    <mergeCell ref="K110:M110"/>
    <mergeCell ref="G126:H126"/>
    <mergeCell ref="L116:M119"/>
    <mergeCell ref="E119:F119"/>
    <mergeCell ref="G119:H119"/>
    <mergeCell ref="C120:D120"/>
    <mergeCell ref="E120:F120"/>
    <mergeCell ref="G120:H120"/>
    <mergeCell ref="C121:D121"/>
    <mergeCell ref="E121:F121"/>
    <mergeCell ref="G121:H121"/>
    <mergeCell ref="C122:D122"/>
    <mergeCell ref="E122:F122"/>
    <mergeCell ref="G122:H122"/>
    <mergeCell ref="C123:D123"/>
    <mergeCell ref="E123:F123"/>
    <mergeCell ref="G123:H123"/>
    <mergeCell ref="C124:D124"/>
    <mergeCell ref="E124:F124"/>
    <mergeCell ref="C116:D119"/>
    <mergeCell ref="E116:F118"/>
    <mergeCell ref="G116:H118"/>
    <mergeCell ref="I116:I118"/>
    <mergeCell ref="J116:K118"/>
    <mergeCell ref="J119:K119"/>
    <mergeCell ref="B132:B133"/>
    <mergeCell ref="C132:D132"/>
    <mergeCell ref="E132:F132"/>
    <mergeCell ref="G132:H132"/>
    <mergeCell ref="J132:K133"/>
    <mergeCell ref="L132:M137"/>
    <mergeCell ref="C133:D133"/>
    <mergeCell ref="E133:F133"/>
    <mergeCell ref="G133:H133"/>
    <mergeCell ref="B134:B135"/>
    <mergeCell ref="C134:D134"/>
    <mergeCell ref="E134:F134"/>
    <mergeCell ref="G134:H134"/>
    <mergeCell ref="J134:K135"/>
    <mergeCell ref="C135:D135"/>
    <mergeCell ref="E135:F135"/>
    <mergeCell ref="G135:H135"/>
    <mergeCell ref="B136:B137"/>
    <mergeCell ref="C136:D136"/>
    <mergeCell ref="E136:F136"/>
    <mergeCell ref="G136:H136"/>
    <mergeCell ref="J136:K137"/>
    <mergeCell ref="C137:D137"/>
    <mergeCell ref="E137:F137"/>
    <mergeCell ref="B126:B127"/>
    <mergeCell ref="J126:K127"/>
    <mergeCell ref="L126:M131"/>
    <mergeCell ref="B128:B129"/>
    <mergeCell ref="J128:K129"/>
    <mergeCell ref="C129:D129"/>
    <mergeCell ref="E129:F129"/>
    <mergeCell ref="G129:H129"/>
    <mergeCell ref="B130:B131"/>
    <mergeCell ref="C130:D130"/>
    <mergeCell ref="E130:F130"/>
    <mergeCell ref="G130:H130"/>
    <mergeCell ref="J130:K131"/>
    <mergeCell ref="C131:D131"/>
    <mergeCell ref="E131:F131"/>
    <mergeCell ref="G131:H131"/>
    <mergeCell ref="C127:D127"/>
    <mergeCell ref="E127:F127"/>
    <mergeCell ref="G127:H127"/>
    <mergeCell ref="C128:D128"/>
    <mergeCell ref="E128:F128"/>
    <mergeCell ref="G128:H128"/>
    <mergeCell ref="C126:D126"/>
    <mergeCell ref="E126:F126"/>
    <mergeCell ref="B120:B121"/>
    <mergeCell ref="J120:K121"/>
    <mergeCell ref="L120:M125"/>
    <mergeCell ref="B122:B123"/>
    <mergeCell ref="J122:K123"/>
    <mergeCell ref="B124:B125"/>
    <mergeCell ref="J124:K125"/>
    <mergeCell ref="G124:H124"/>
    <mergeCell ref="C125:D125"/>
    <mergeCell ref="E125:F125"/>
    <mergeCell ref="G125:H125"/>
    <mergeCell ref="C115:D115"/>
    <mergeCell ref="G115:H115"/>
    <mergeCell ref="B116:B119"/>
    <mergeCell ref="C111:F111"/>
    <mergeCell ref="G111:H111"/>
    <mergeCell ref="C112:F112"/>
    <mergeCell ref="G112:H112"/>
    <mergeCell ref="I112:J112"/>
    <mergeCell ref="L112:M112"/>
    <mergeCell ref="C113:H113"/>
    <mergeCell ref="J113:K113"/>
    <mergeCell ref="G137:H137"/>
    <mergeCell ref="B138:B139"/>
    <mergeCell ref="C138:D138"/>
    <mergeCell ref="E138:F138"/>
    <mergeCell ref="G138:H138"/>
    <mergeCell ref="J138:K139"/>
    <mergeCell ref="L138:M143"/>
    <mergeCell ref="C139:D139"/>
    <mergeCell ref="E139:F139"/>
    <mergeCell ref="G139:H139"/>
    <mergeCell ref="B140:B141"/>
    <mergeCell ref="C140:D140"/>
    <mergeCell ref="E140:F140"/>
    <mergeCell ref="G140:H140"/>
    <mergeCell ref="J140:K141"/>
    <mergeCell ref="C141:D141"/>
    <mergeCell ref="E141:F141"/>
    <mergeCell ref="G141:H141"/>
    <mergeCell ref="B142:B143"/>
    <mergeCell ref="C142:D142"/>
    <mergeCell ref="E142:F142"/>
    <mergeCell ref="G142:H142"/>
    <mergeCell ref="J142:K143"/>
    <mergeCell ref="C143:D143"/>
    <mergeCell ref="E143:F143"/>
    <mergeCell ref="G143:H143"/>
    <mergeCell ref="B150:M150"/>
    <mergeCell ref="B151:M151"/>
    <mergeCell ref="B152:M152"/>
    <mergeCell ref="I153:J153"/>
    <mergeCell ref="K153:M153"/>
    <mergeCell ref="C154:H154"/>
    <mergeCell ref="I154:J154"/>
    <mergeCell ref="K154:M154"/>
    <mergeCell ref="L147:M147"/>
    <mergeCell ref="B145:C145"/>
    <mergeCell ref="G145:H145"/>
    <mergeCell ref="K145:M145"/>
    <mergeCell ref="C155:H155"/>
    <mergeCell ref="I155:J155"/>
    <mergeCell ref="K155:M155"/>
    <mergeCell ref="C156:F156"/>
    <mergeCell ref="G156:H156"/>
    <mergeCell ref="C157:F157"/>
    <mergeCell ref="G157:H157"/>
    <mergeCell ref="I157:J157"/>
    <mergeCell ref="L157:M157"/>
    <mergeCell ref="C158:H158"/>
    <mergeCell ref="J158:K158"/>
    <mergeCell ref="C160:D160"/>
    <mergeCell ref="G160:H160"/>
    <mergeCell ref="B161:B164"/>
    <mergeCell ref="C161:D164"/>
    <mergeCell ref="E161:F163"/>
    <mergeCell ref="G161:H163"/>
    <mergeCell ref="I161:I163"/>
    <mergeCell ref="J161:K163"/>
    <mergeCell ref="L161:M164"/>
    <mergeCell ref="E164:F164"/>
    <mergeCell ref="G164:H164"/>
    <mergeCell ref="J164:K164"/>
    <mergeCell ref="B165:B166"/>
    <mergeCell ref="C165:D165"/>
    <mergeCell ref="E165:F165"/>
    <mergeCell ref="G165:H165"/>
    <mergeCell ref="J165:K166"/>
    <mergeCell ref="L165:M170"/>
    <mergeCell ref="C166:D166"/>
    <mergeCell ref="E166:F166"/>
    <mergeCell ref="G166:H166"/>
    <mergeCell ref="B167:B168"/>
    <mergeCell ref="C167:D167"/>
    <mergeCell ref="E167:F167"/>
    <mergeCell ref="G167:H167"/>
    <mergeCell ref="J167:K168"/>
    <mergeCell ref="C168:D168"/>
    <mergeCell ref="E168:F168"/>
    <mergeCell ref="G168:H168"/>
    <mergeCell ref="B169:B170"/>
    <mergeCell ref="C169:D169"/>
    <mergeCell ref="E169:F169"/>
    <mergeCell ref="G169:H169"/>
    <mergeCell ref="J169:K170"/>
    <mergeCell ref="C170:D170"/>
    <mergeCell ref="E170:F170"/>
    <mergeCell ref="G170:H170"/>
    <mergeCell ref="B171:B172"/>
    <mergeCell ref="C171:D171"/>
    <mergeCell ref="E171:F171"/>
    <mergeCell ref="G171:H171"/>
    <mergeCell ref="J171:K172"/>
    <mergeCell ref="E182:F182"/>
    <mergeCell ref="L171:M176"/>
    <mergeCell ref="C172:D172"/>
    <mergeCell ref="E172:F172"/>
    <mergeCell ref="G172:H172"/>
    <mergeCell ref="B173:B174"/>
    <mergeCell ref="C173:D173"/>
    <mergeCell ref="E173:F173"/>
    <mergeCell ref="G173:H173"/>
    <mergeCell ref="J173:K174"/>
    <mergeCell ref="C174:D174"/>
    <mergeCell ref="E174:F174"/>
    <mergeCell ref="G174:H174"/>
    <mergeCell ref="B175:B176"/>
    <mergeCell ref="C175:D175"/>
    <mergeCell ref="E175:F175"/>
    <mergeCell ref="G175:H175"/>
    <mergeCell ref="J175:K176"/>
    <mergeCell ref="C176:D176"/>
    <mergeCell ref="E176:F176"/>
    <mergeCell ref="G176:H176"/>
    <mergeCell ref="G186:H186"/>
    <mergeCell ref="B177:B178"/>
    <mergeCell ref="C177:D177"/>
    <mergeCell ref="E177:F177"/>
    <mergeCell ref="G177:H177"/>
    <mergeCell ref="J177:K178"/>
    <mergeCell ref="L177:M182"/>
    <mergeCell ref="C178:D178"/>
    <mergeCell ref="E178:F178"/>
    <mergeCell ref="G178:H178"/>
    <mergeCell ref="B179:B180"/>
    <mergeCell ref="C179:D179"/>
    <mergeCell ref="E179:F179"/>
    <mergeCell ref="G179:H179"/>
    <mergeCell ref="J179:K180"/>
    <mergeCell ref="C180:D180"/>
    <mergeCell ref="E180:F180"/>
    <mergeCell ref="G180:H180"/>
    <mergeCell ref="B181:B182"/>
    <mergeCell ref="C181:D181"/>
    <mergeCell ref="E181:F181"/>
    <mergeCell ref="G181:H181"/>
    <mergeCell ref="J181:K182"/>
    <mergeCell ref="C182:D182"/>
    <mergeCell ref="B188:C188"/>
    <mergeCell ref="G188:H188"/>
    <mergeCell ref="K188:M188"/>
    <mergeCell ref="L190:M190"/>
    <mergeCell ref="D159:E159"/>
    <mergeCell ref="B195:M195"/>
    <mergeCell ref="B196:M196"/>
    <mergeCell ref="G182:H182"/>
    <mergeCell ref="B183:B184"/>
    <mergeCell ref="C183:D183"/>
    <mergeCell ref="E183:F183"/>
    <mergeCell ref="G183:H183"/>
    <mergeCell ref="J183:K184"/>
    <mergeCell ref="L183:M186"/>
    <mergeCell ref="C184:D184"/>
    <mergeCell ref="E184:F184"/>
    <mergeCell ref="G184:H184"/>
    <mergeCell ref="B185:B186"/>
    <mergeCell ref="C185:D185"/>
    <mergeCell ref="E185:F185"/>
    <mergeCell ref="G185:H185"/>
    <mergeCell ref="J185:K186"/>
    <mergeCell ref="C186:D186"/>
    <mergeCell ref="E186:F186"/>
    <mergeCell ref="B197:M197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F201"/>
    <mergeCell ref="G201:H201"/>
    <mergeCell ref="C202:F202"/>
    <mergeCell ref="G202:H202"/>
    <mergeCell ref="I202:J202"/>
    <mergeCell ref="L202:M202"/>
    <mergeCell ref="C203:H203"/>
    <mergeCell ref="J203:K203"/>
    <mergeCell ref="D204:E204"/>
    <mergeCell ref="C205:D205"/>
    <mergeCell ref="G205:H205"/>
    <mergeCell ref="B206:B209"/>
    <mergeCell ref="C206:D209"/>
    <mergeCell ref="E206:F208"/>
    <mergeCell ref="G206:H208"/>
    <mergeCell ref="I206:I208"/>
    <mergeCell ref="J206:K208"/>
    <mergeCell ref="E209:F209"/>
    <mergeCell ref="G209:H209"/>
    <mergeCell ref="J209:K209"/>
    <mergeCell ref="B210:B211"/>
    <mergeCell ref="C210:D210"/>
    <mergeCell ref="E210:F210"/>
    <mergeCell ref="G210:H210"/>
    <mergeCell ref="J210:K211"/>
    <mergeCell ref="C211:D211"/>
    <mergeCell ref="E211:F211"/>
    <mergeCell ref="G211:H211"/>
    <mergeCell ref="B212:B213"/>
    <mergeCell ref="C212:D212"/>
    <mergeCell ref="E212:F212"/>
    <mergeCell ref="G212:H212"/>
    <mergeCell ref="J212:K213"/>
    <mergeCell ref="C213:D213"/>
    <mergeCell ref="E213:F213"/>
    <mergeCell ref="G213:H213"/>
    <mergeCell ref="B218:B219"/>
    <mergeCell ref="C218:D218"/>
    <mergeCell ref="E218:F218"/>
    <mergeCell ref="G218:H218"/>
    <mergeCell ref="J218:K219"/>
    <mergeCell ref="C219:D219"/>
    <mergeCell ref="E219:F219"/>
    <mergeCell ref="G219:H219"/>
    <mergeCell ref="B220:B221"/>
    <mergeCell ref="C220:D220"/>
    <mergeCell ref="E220:F220"/>
    <mergeCell ref="G220:H220"/>
    <mergeCell ref="J220:K221"/>
    <mergeCell ref="C221:D221"/>
    <mergeCell ref="E221:F221"/>
    <mergeCell ref="G221:H221"/>
    <mergeCell ref="G215:H215"/>
    <mergeCell ref="B216:B217"/>
    <mergeCell ref="C216:D216"/>
    <mergeCell ref="E216:F216"/>
    <mergeCell ref="G216:H216"/>
    <mergeCell ref="J216:K217"/>
    <mergeCell ref="C217:D217"/>
    <mergeCell ref="E217:F217"/>
    <mergeCell ref="G217:H217"/>
    <mergeCell ref="B214:B215"/>
    <mergeCell ref="C214:D214"/>
    <mergeCell ref="E214:F214"/>
    <mergeCell ref="G214:H214"/>
    <mergeCell ref="J214:K215"/>
    <mergeCell ref="C215:D215"/>
    <mergeCell ref="E215:F215"/>
    <mergeCell ref="B222:B223"/>
    <mergeCell ref="C222:D222"/>
    <mergeCell ref="E222:F222"/>
    <mergeCell ref="G222:H222"/>
    <mergeCell ref="J222:K223"/>
    <mergeCell ref="L222:M227"/>
    <mergeCell ref="C223:D223"/>
    <mergeCell ref="E223:F223"/>
    <mergeCell ref="G223:H223"/>
    <mergeCell ref="B224:B225"/>
    <mergeCell ref="C224:D224"/>
    <mergeCell ref="E224:F224"/>
    <mergeCell ref="G224:H224"/>
    <mergeCell ref="J224:K225"/>
    <mergeCell ref="C225:D225"/>
    <mergeCell ref="E225:F225"/>
    <mergeCell ref="G225:H225"/>
    <mergeCell ref="B226:B227"/>
    <mergeCell ref="C226:D226"/>
    <mergeCell ref="E226:F226"/>
    <mergeCell ref="G226:H226"/>
    <mergeCell ref="J226:K227"/>
    <mergeCell ref="C227:D227"/>
    <mergeCell ref="E227:F227"/>
    <mergeCell ref="G227:H227"/>
    <mergeCell ref="B228:B230"/>
    <mergeCell ref="C228:D228"/>
    <mergeCell ref="E228:F228"/>
    <mergeCell ref="G228:H228"/>
    <mergeCell ref="J228:K230"/>
    <mergeCell ref="L228:M232"/>
    <mergeCell ref="C230:D230"/>
    <mergeCell ref="E230:F230"/>
    <mergeCell ref="G230:H230"/>
    <mergeCell ref="C232:D232"/>
    <mergeCell ref="E232:F232"/>
    <mergeCell ref="G232:H232"/>
    <mergeCell ref="J232:K232"/>
    <mergeCell ref="M206:M209"/>
    <mergeCell ref="M210:M215"/>
    <mergeCell ref="M216:M221"/>
    <mergeCell ref="L206:L208"/>
    <mergeCell ref="L216:L217"/>
    <mergeCell ref="L210:L211"/>
    <mergeCell ref="L212:L213"/>
    <mergeCell ref="L214:L215"/>
    <mergeCell ref="L218:L219"/>
    <mergeCell ref="L220:L221"/>
    <mergeCell ref="C244:H244"/>
    <mergeCell ref="I244:J244"/>
    <mergeCell ref="K244:M244"/>
    <mergeCell ref="C245:H245"/>
    <mergeCell ref="I245:J245"/>
    <mergeCell ref="K245:M245"/>
    <mergeCell ref="C246:F246"/>
    <mergeCell ref="G246:H246"/>
    <mergeCell ref="C247:F247"/>
    <mergeCell ref="G247:H247"/>
    <mergeCell ref="I247:J247"/>
    <mergeCell ref="L247:M247"/>
    <mergeCell ref="B234:C234"/>
    <mergeCell ref="G234:H234"/>
    <mergeCell ref="K234:M234"/>
    <mergeCell ref="L236:M236"/>
    <mergeCell ref="B240:M240"/>
    <mergeCell ref="B241:M241"/>
    <mergeCell ref="B242:M242"/>
    <mergeCell ref="I243:J243"/>
    <mergeCell ref="K243:M243"/>
    <mergeCell ref="L258:M260"/>
    <mergeCell ref="L261:M263"/>
    <mergeCell ref="L264:M266"/>
    <mergeCell ref="L267:M269"/>
    <mergeCell ref="L270:M272"/>
    <mergeCell ref="L273:M274"/>
    <mergeCell ref="L275:M276"/>
    <mergeCell ref="L277:M278"/>
    <mergeCell ref="J273:K274"/>
    <mergeCell ref="J275:K276"/>
    <mergeCell ref="J277:K278"/>
    <mergeCell ref="J264:K266"/>
    <mergeCell ref="J267:K269"/>
    <mergeCell ref="J270:K272"/>
  </mergeCells>
  <phoneticPr fontId="4" type="noConversion"/>
  <pageMargins left="0.15748031496062992" right="0.43307086614173229" top="0.27559055118110237" bottom="0.47244094488188981" header="0.15748031496062992" footer="1.2598425196850394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降流量</vt:lpstr>
      <vt:lpstr>升流量</vt:lpstr>
      <vt:lpstr>重复性</vt:lpstr>
      <vt:lpstr>用户模式</vt:lpstr>
      <vt:lpstr>温度适应性</vt:lpstr>
      <vt:lpstr>环适复测</vt:lpstr>
      <vt:lpstr>流体扰动</vt:lpstr>
      <vt:lpstr>耐久性复测</vt:lpstr>
      <vt:lpstr>振动跌落后</vt:lpstr>
      <vt:lpstr>打印页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g.rgny</dc:creator>
  <cp:lastModifiedBy>lenovo</cp:lastModifiedBy>
  <cp:lastPrinted>2026-04-08T05:11:04Z</cp:lastPrinted>
  <dcterms:created xsi:type="dcterms:W3CDTF">2025-09-05T03:03:06Z</dcterms:created>
  <dcterms:modified xsi:type="dcterms:W3CDTF">2026-04-08T05:14:52Z</dcterms:modified>
</cp:coreProperties>
</file>